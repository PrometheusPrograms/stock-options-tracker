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0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/Users/yuriy/projects/inv_track/"/>
    </mc:Choice>
  </mc:AlternateContent>
  <xr:revisionPtr revIDLastSave="0" documentId="13_ncr:9_{446D4865-DC86-B74F-BA18-EA9EE5CB3EAE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ADBE" sheetId="85" r:id="rId1"/>
    <sheet name="AMAT" sheetId="52" r:id="rId2"/>
    <sheet name="AMZN" sheetId="65" r:id="rId3"/>
    <sheet name="ARM" sheetId="56" r:id="rId4"/>
    <sheet name="ASML" sheetId="78" r:id="rId5"/>
    <sheet name="AVGO" sheetId="45" r:id="rId6"/>
    <sheet name="BA" sheetId="59" r:id="rId7"/>
    <sheet name="CEG" sheetId="75" r:id="rId8"/>
    <sheet name="CMG" sheetId="48" r:id="rId9"/>
    <sheet name="CONY - Roth" sheetId="39" r:id="rId10"/>
    <sheet name="CROX" sheetId="35" r:id="rId11"/>
    <sheet name="DHI" sheetId="51" r:id="rId12"/>
    <sheet name="DHI - Roth" sheetId="62" r:id="rId13"/>
    <sheet name="ENPH" sheetId="77" r:id="rId14"/>
    <sheet name="FMCC" sheetId="43" r:id="rId15"/>
    <sheet name="FNMA" sheetId="44" r:id="rId16"/>
    <sheet name="GDX" sheetId="19" r:id="rId17"/>
    <sheet name="GDX - Roth" sheetId="25" r:id="rId18"/>
    <sheet name="GDXY" sheetId="57" r:id="rId19"/>
    <sheet name="GDXY - Roth" sheetId="71" r:id="rId20"/>
    <sheet name="GOOG" sheetId="32" r:id="rId21"/>
    <sheet name="HHH" sheetId="72" r:id="rId22"/>
    <sheet name="INTC" sheetId="42" r:id="rId23"/>
    <sheet name="INTC - Roth" sheetId="66" r:id="rId24"/>
    <sheet name="LB" sheetId="80" r:id="rId25"/>
    <sheet name="LOW" sheetId="73" r:id="rId26"/>
    <sheet name="LRCX" sheetId="55" r:id="rId27"/>
    <sheet name="LRCX - Roth" sheetId="63" r:id="rId28"/>
    <sheet name="LULU" sheetId="24" r:id="rId29"/>
    <sheet name="LULU - Roth" sheetId="70" r:id="rId30"/>
    <sheet name="NKE" sheetId="37" r:id="rId31"/>
    <sheet name="NKE - Roth" sheetId="26" r:id="rId32"/>
    <sheet name="NKE (2)" sheetId="50" r:id="rId33"/>
    <sheet name="NVDA" sheetId="20" r:id="rId34"/>
    <sheet name="ODFL" sheetId="81" r:id="rId35"/>
    <sheet name="OXY" sheetId="21" r:id="rId36"/>
    <sheet name="PYPL" sheetId="67" r:id="rId37"/>
    <sheet name="QCOM" sheetId="82" r:id="rId38"/>
    <sheet name="RBLX" sheetId="58" r:id="rId39"/>
    <sheet name="RIVN" sheetId="8" r:id="rId40"/>
    <sheet name="RIVN - Roth" sheetId="30" r:id="rId41"/>
    <sheet name="SLV" sheetId="23" r:id="rId42"/>
    <sheet name="SLV - Roth" sheetId="31" r:id="rId43"/>
    <sheet name="SMR" sheetId="68" r:id="rId44"/>
    <sheet name="RIVN (2)" sheetId="49" r:id="rId45"/>
    <sheet name="SQY - Roth" sheetId="38" r:id="rId46"/>
    <sheet name="TOL" sheetId="74" r:id="rId47"/>
    <sheet name="TSLA" sheetId="69" r:id="rId48"/>
    <sheet name="TSLA - Roth" sheetId="4" r:id="rId49"/>
    <sheet name="TSLY - Roth" sheetId="40" r:id="rId50"/>
    <sheet name="TXN" sheetId="83" r:id="rId51"/>
    <sheet name="UNH" sheetId="76" r:id="rId52"/>
    <sheet name="V - Roth" sheetId="64" r:id="rId53"/>
    <sheet name="VIST" sheetId="84" r:id="rId54"/>
    <sheet name="VRT" sheetId="60" r:id="rId55"/>
    <sheet name="VST - Roth" sheetId="61" r:id="rId56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44" i="81" l="1"/>
  <c r="G43" i="84"/>
  <c r="G56" i="35"/>
  <c r="G43" i="48" l="1"/>
  <c r="L77" i="85"/>
  <c r="G77" i="85"/>
  <c r="G37" i="85"/>
  <c r="G36" i="85"/>
  <c r="G35" i="85"/>
  <c r="G34" i="85"/>
  <c r="G33" i="85"/>
  <c r="G32" i="85"/>
  <c r="G31" i="85"/>
  <c r="G30" i="85"/>
  <c r="G29" i="85"/>
  <c r="G28" i="85"/>
  <c r="G27" i="85"/>
  <c r="G26" i="85"/>
  <c r="G25" i="85"/>
  <c r="G24" i="85"/>
  <c r="G23" i="85"/>
  <c r="G22" i="85"/>
  <c r="G21" i="85"/>
  <c r="G20" i="85"/>
  <c r="G19" i="85"/>
  <c r="G18" i="85"/>
  <c r="G17" i="85"/>
  <c r="G16" i="85"/>
  <c r="G15" i="85"/>
  <c r="G14" i="85"/>
  <c r="G13" i="85"/>
  <c r="G12" i="85"/>
  <c r="G11" i="85"/>
  <c r="J11" i="85" s="1"/>
  <c r="G4" i="85"/>
  <c r="L74" i="84"/>
  <c r="G74" i="84"/>
  <c r="G37" i="84"/>
  <c r="G36" i="84"/>
  <c r="G35" i="84"/>
  <c r="G34" i="84"/>
  <c r="G33" i="84"/>
  <c r="G32" i="84"/>
  <c r="G31" i="84"/>
  <c r="G30" i="84"/>
  <c r="G29" i="84"/>
  <c r="G28" i="84"/>
  <c r="G27" i="84"/>
  <c r="G26" i="84"/>
  <c r="G25" i="84"/>
  <c r="G24" i="84"/>
  <c r="G23" i="84"/>
  <c r="G22" i="84"/>
  <c r="G21" i="84"/>
  <c r="G20" i="84"/>
  <c r="G19" i="84"/>
  <c r="G18" i="84"/>
  <c r="G17" i="84"/>
  <c r="G16" i="84"/>
  <c r="G15" i="84"/>
  <c r="G14" i="84"/>
  <c r="G13" i="84"/>
  <c r="G12" i="84"/>
  <c r="G11" i="84"/>
  <c r="J11" i="84" s="1"/>
  <c r="G4" i="84"/>
  <c r="G46" i="65"/>
  <c r="G47" i="65"/>
  <c r="L77" i="83"/>
  <c r="G77" i="83"/>
  <c r="G37" i="83"/>
  <c r="G36" i="83"/>
  <c r="G35" i="83"/>
  <c r="G34" i="83"/>
  <c r="G33" i="83"/>
  <c r="G32" i="83"/>
  <c r="G31" i="83"/>
  <c r="G30" i="83"/>
  <c r="G29" i="83"/>
  <c r="G28" i="83"/>
  <c r="G27" i="83"/>
  <c r="G26" i="83"/>
  <c r="G25" i="83"/>
  <c r="G24" i="83"/>
  <c r="G23" i="83"/>
  <c r="G22" i="83"/>
  <c r="G21" i="83"/>
  <c r="G20" i="83"/>
  <c r="G19" i="83"/>
  <c r="G18" i="83"/>
  <c r="G17" i="83"/>
  <c r="G16" i="83"/>
  <c r="G15" i="83"/>
  <c r="G14" i="83"/>
  <c r="G13" i="83"/>
  <c r="G12" i="83"/>
  <c r="G11" i="83"/>
  <c r="J11" i="83" s="1"/>
  <c r="G4" i="83"/>
  <c r="G43" i="57"/>
  <c r="G44" i="71"/>
  <c r="G4" i="39"/>
  <c r="G98" i="39"/>
  <c r="I21" i="38"/>
  <c r="K21" i="38" s="1"/>
  <c r="L77" i="82"/>
  <c r="G77" i="82"/>
  <c r="G37" i="82"/>
  <c r="G36" i="82"/>
  <c r="G35" i="82"/>
  <c r="G34" i="82"/>
  <c r="G33" i="82"/>
  <c r="G32" i="82"/>
  <c r="G31" i="82"/>
  <c r="G30" i="82"/>
  <c r="G29" i="82"/>
  <c r="G28" i="82"/>
  <c r="G27" i="82"/>
  <c r="G26" i="82"/>
  <c r="G25" i="82"/>
  <c r="G24" i="82"/>
  <c r="G23" i="82"/>
  <c r="G22" i="82"/>
  <c r="G21" i="82"/>
  <c r="G20" i="82"/>
  <c r="G19" i="82"/>
  <c r="G18" i="82"/>
  <c r="G17" i="82"/>
  <c r="G16" i="82"/>
  <c r="G15" i="82"/>
  <c r="G14" i="82"/>
  <c r="G13" i="82"/>
  <c r="G12" i="82"/>
  <c r="G11" i="82"/>
  <c r="J11" i="82" s="1"/>
  <c r="G4" i="82"/>
  <c r="G52" i="25"/>
  <c r="G51" i="25"/>
  <c r="G66" i="19"/>
  <c r="G65" i="19"/>
  <c r="G64" i="19"/>
  <c r="G62" i="19"/>
  <c r="G59" i="19"/>
  <c r="G58" i="19"/>
  <c r="G57" i="19"/>
  <c r="G50" i="25"/>
  <c r="G49" i="25"/>
  <c r="G47" i="25"/>
  <c r="G46" i="25"/>
  <c r="G45" i="25"/>
  <c r="G44" i="25"/>
  <c r="G43" i="25"/>
  <c r="G58" i="31"/>
  <c r="G57" i="31"/>
  <c r="G56" i="31"/>
  <c r="G55" i="31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76" i="23"/>
  <c r="G75" i="23"/>
  <c r="G74" i="23"/>
  <c r="G73" i="23"/>
  <c r="L38" i="85" l="1"/>
  <c r="G38" i="83"/>
  <c r="G3" i="83" s="1"/>
  <c r="G38" i="82"/>
  <c r="G3" i="82" s="1"/>
  <c r="L38" i="84"/>
  <c r="L11" i="85"/>
  <c r="J12" i="85"/>
  <c r="G38" i="85"/>
  <c r="G3" i="85" s="1"/>
  <c r="L11" i="84"/>
  <c r="J12" i="84"/>
  <c r="G38" i="84"/>
  <c r="G3" i="84" s="1"/>
  <c r="L11" i="83"/>
  <c r="J12" i="83"/>
  <c r="L38" i="83"/>
  <c r="L11" i="82"/>
  <c r="J12" i="82"/>
  <c r="L38" i="82"/>
  <c r="J13" i="85" l="1"/>
  <c r="L12" i="85"/>
  <c r="J13" i="84"/>
  <c r="L12" i="84"/>
  <c r="J13" i="83"/>
  <c r="L12" i="83"/>
  <c r="L12" i="82"/>
  <c r="J13" i="82"/>
  <c r="J41" i="85" l="1"/>
  <c r="L13" i="85"/>
  <c r="J14" i="85"/>
  <c r="J14" i="84"/>
  <c r="J41" i="84"/>
  <c r="L13" i="84"/>
  <c r="J14" i="83"/>
  <c r="J41" i="83"/>
  <c r="L13" i="83"/>
  <c r="J14" i="82"/>
  <c r="J41" i="82"/>
  <c r="L13" i="82"/>
  <c r="L14" i="85" l="1"/>
  <c r="J15" i="85"/>
  <c r="J42" i="85"/>
  <c r="L41" i="85"/>
  <c r="J42" i="84"/>
  <c r="L41" i="84"/>
  <c r="J15" i="84"/>
  <c r="L14" i="84"/>
  <c r="J42" i="83"/>
  <c r="L41" i="83"/>
  <c r="J15" i="83"/>
  <c r="L14" i="83"/>
  <c r="J42" i="82"/>
  <c r="L41" i="82"/>
  <c r="L14" i="82"/>
  <c r="J15" i="82"/>
  <c r="L42" i="85" l="1"/>
  <c r="J43" i="85"/>
  <c r="J16" i="85"/>
  <c r="L15" i="85"/>
  <c r="J16" i="84"/>
  <c r="L15" i="84"/>
  <c r="L42" i="84"/>
  <c r="J43" i="84"/>
  <c r="J44" i="84" s="1"/>
  <c r="J45" i="84" s="1"/>
  <c r="J46" i="84" s="1"/>
  <c r="J47" i="84" s="1"/>
  <c r="J48" i="84" s="1"/>
  <c r="J49" i="84" s="1"/>
  <c r="J50" i="84" s="1"/>
  <c r="J51" i="84" s="1"/>
  <c r="J52" i="84" s="1"/>
  <c r="J53" i="84" s="1"/>
  <c r="J54" i="84" s="1"/>
  <c r="J55" i="84" s="1"/>
  <c r="J56" i="84" s="1"/>
  <c r="J57" i="84" s="1"/>
  <c r="J58" i="84" s="1"/>
  <c r="J59" i="84" s="1"/>
  <c r="J60" i="84" s="1"/>
  <c r="J61" i="84" s="1"/>
  <c r="J62" i="84" s="1"/>
  <c r="J63" i="84" s="1"/>
  <c r="J64" i="84" s="1"/>
  <c r="J65" i="84" s="1"/>
  <c r="J66" i="84" s="1"/>
  <c r="J67" i="84" s="1"/>
  <c r="J68" i="84" s="1"/>
  <c r="J69" i="84" s="1"/>
  <c r="J70" i="84" s="1"/>
  <c r="J71" i="84" s="1"/>
  <c r="J72" i="84" s="1"/>
  <c r="J73" i="84" s="1"/>
  <c r="J16" i="83"/>
  <c r="L15" i="83"/>
  <c r="L42" i="83"/>
  <c r="J43" i="83"/>
  <c r="J16" i="82"/>
  <c r="L15" i="82"/>
  <c r="L42" i="82"/>
  <c r="J43" i="82"/>
  <c r="J17" i="85" l="1"/>
  <c r="L16" i="85"/>
  <c r="J44" i="85"/>
  <c r="L43" i="85"/>
  <c r="L43" i="84"/>
  <c r="L16" i="84"/>
  <c r="J17" i="84"/>
  <c r="L43" i="83"/>
  <c r="J44" i="83"/>
  <c r="J17" i="83"/>
  <c r="L16" i="83"/>
  <c r="L43" i="82"/>
  <c r="J44" i="82"/>
  <c r="L16" i="82"/>
  <c r="J17" i="82"/>
  <c r="J45" i="85" l="1"/>
  <c r="L44" i="85"/>
  <c r="L17" i="85"/>
  <c r="J18" i="85"/>
  <c r="J18" i="84"/>
  <c r="L17" i="84"/>
  <c r="L17" i="83"/>
  <c r="J18" i="83"/>
  <c r="L44" i="83"/>
  <c r="J45" i="83"/>
  <c r="J18" i="82"/>
  <c r="L17" i="82"/>
  <c r="J45" i="82"/>
  <c r="L44" i="82"/>
  <c r="J19" i="85" l="1"/>
  <c r="L18" i="85"/>
  <c r="J46" i="85"/>
  <c r="L45" i="85"/>
  <c r="J19" i="84"/>
  <c r="L18" i="84"/>
  <c r="J19" i="83"/>
  <c r="L18" i="83"/>
  <c r="J46" i="83"/>
  <c r="L45" i="83"/>
  <c r="J46" i="82"/>
  <c r="L45" i="82"/>
  <c r="J19" i="82"/>
  <c r="L18" i="82"/>
  <c r="J47" i="85" l="1"/>
  <c r="L46" i="85"/>
  <c r="J36" i="85"/>
  <c r="J20" i="85"/>
  <c r="L19" i="85"/>
  <c r="J20" i="84"/>
  <c r="L19" i="84"/>
  <c r="J36" i="84"/>
  <c r="L44" i="84"/>
  <c r="J47" i="83"/>
  <c r="L46" i="83"/>
  <c r="L19" i="83"/>
  <c r="J36" i="83"/>
  <c r="J20" i="83"/>
  <c r="L19" i="82"/>
  <c r="J20" i="82"/>
  <c r="J36" i="82"/>
  <c r="J47" i="82"/>
  <c r="L46" i="82"/>
  <c r="L20" i="85" l="1"/>
  <c r="J21" i="85"/>
  <c r="J37" i="85"/>
  <c r="L37" i="85" s="1"/>
  <c r="L36" i="85"/>
  <c r="L47" i="85"/>
  <c r="J48" i="85"/>
  <c r="J37" i="84"/>
  <c r="L37" i="84" s="1"/>
  <c r="L36" i="84"/>
  <c r="J21" i="84"/>
  <c r="L20" i="84"/>
  <c r="J21" i="83"/>
  <c r="L20" i="83"/>
  <c r="J37" i="83"/>
  <c r="L37" i="83" s="1"/>
  <c r="L36" i="83"/>
  <c r="J48" i="83"/>
  <c r="L47" i="83"/>
  <c r="L47" i="82"/>
  <c r="J48" i="82"/>
  <c r="J37" i="82"/>
  <c r="L37" i="82" s="1"/>
  <c r="L36" i="82"/>
  <c r="L20" i="82"/>
  <c r="J21" i="82"/>
  <c r="J49" i="85" l="1"/>
  <c r="L48" i="85"/>
  <c r="J22" i="85"/>
  <c r="L21" i="85"/>
  <c r="L21" i="84"/>
  <c r="J22" i="84"/>
  <c r="L45" i="84"/>
  <c r="J49" i="83"/>
  <c r="L48" i="83"/>
  <c r="J22" i="83"/>
  <c r="L21" i="83"/>
  <c r="L21" i="82"/>
  <c r="J22" i="82"/>
  <c r="J49" i="82"/>
  <c r="L48" i="82"/>
  <c r="J23" i="85" l="1"/>
  <c r="L22" i="85"/>
  <c r="L49" i="85"/>
  <c r="J50" i="85"/>
  <c r="L46" i="84"/>
  <c r="J23" i="84"/>
  <c r="L22" i="84"/>
  <c r="J23" i="83"/>
  <c r="L22" i="83"/>
  <c r="L49" i="83"/>
  <c r="J50" i="83"/>
  <c r="L49" i="82"/>
  <c r="J50" i="82"/>
  <c r="J23" i="82"/>
  <c r="L22" i="82"/>
  <c r="J51" i="85" l="1"/>
  <c r="L50" i="85"/>
  <c r="J24" i="85"/>
  <c r="L23" i="85"/>
  <c r="L23" i="84"/>
  <c r="J24" i="84"/>
  <c r="L47" i="84"/>
  <c r="J51" i="83"/>
  <c r="L50" i="83"/>
  <c r="J24" i="83"/>
  <c r="L23" i="83"/>
  <c r="J24" i="82"/>
  <c r="L23" i="82"/>
  <c r="L50" i="82"/>
  <c r="J51" i="82"/>
  <c r="J25" i="85" l="1"/>
  <c r="L24" i="85"/>
  <c r="J52" i="85"/>
  <c r="L51" i="85"/>
  <c r="L48" i="84"/>
  <c r="L24" i="84"/>
  <c r="J25" i="84"/>
  <c r="J25" i="83"/>
  <c r="L24" i="83"/>
  <c r="J52" i="83"/>
  <c r="L51" i="83"/>
  <c r="J52" i="82"/>
  <c r="L51" i="82"/>
  <c r="J25" i="82"/>
  <c r="L24" i="82"/>
  <c r="L52" i="85" l="1"/>
  <c r="J53" i="85"/>
  <c r="L25" i="85"/>
  <c r="J26" i="85"/>
  <c r="L25" i="84"/>
  <c r="J26" i="84"/>
  <c r="L49" i="84"/>
  <c r="L52" i="83"/>
  <c r="J53" i="83"/>
  <c r="L25" i="83"/>
  <c r="J26" i="83"/>
  <c r="L25" i="82"/>
  <c r="J26" i="82"/>
  <c r="J53" i="82"/>
  <c r="L52" i="82"/>
  <c r="J54" i="85" l="1"/>
  <c r="L53" i="85"/>
  <c r="J27" i="85"/>
  <c r="L26" i="85"/>
  <c r="L50" i="84"/>
  <c r="J27" i="84"/>
  <c r="L26" i="84"/>
  <c r="L53" i="83"/>
  <c r="J54" i="83"/>
  <c r="J27" i="83"/>
  <c r="L26" i="83"/>
  <c r="J54" i="82"/>
  <c r="L53" i="82"/>
  <c r="J27" i="82"/>
  <c r="L26" i="82"/>
  <c r="L27" i="85" l="1"/>
  <c r="J28" i="85"/>
  <c r="L54" i="85"/>
  <c r="J55" i="85"/>
  <c r="J28" i="84"/>
  <c r="L27" i="84"/>
  <c r="L51" i="84"/>
  <c r="J28" i="83"/>
  <c r="L27" i="83"/>
  <c r="L54" i="83"/>
  <c r="J55" i="83"/>
  <c r="J28" i="82"/>
  <c r="L27" i="82"/>
  <c r="L54" i="82"/>
  <c r="J55" i="82"/>
  <c r="L28" i="85" l="1"/>
  <c r="J29" i="85"/>
  <c r="J56" i="85"/>
  <c r="L55" i="85"/>
  <c r="L52" i="84"/>
  <c r="J29" i="84"/>
  <c r="L28" i="84"/>
  <c r="J56" i="83"/>
  <c r="L55" i="83"/>
  <c r="L28" i="83"/>
  <c r="J29" i="83"/>
  <c r="J56" i="82"/>
  <c r="L55" i="82"/>
  <c r="L28" i="82"/>
  <c r="J29" i="82"/>
  <c r="L56" i="85" l="1"/>
  <c r="J57" i="85"/>
  <c r="J30" i="85"/>
  <c r="L29" i="85"/>
  <c r="J30" i="84"/>
  <c r="L29" i="84"/>
  <c r="L53" i="84"/>
  <c r="J30" i="83"/>
  <c r="L29" i="83"/>
  <c r="L56" i="83"/>
  <c r="J57" i="83"/>
  <c r="J30" i="82"/>
  <c r="L29" i="82"/>
  <c r="L56" i="82"/>
  <c r="J57" i="82"/>
  <c r="L57" i="85" l="1"/>
  <c r="J58" i="85"/>
  <c r="L30" i="85"/>
  <c r="J31" i="85"/>
  <c r="L54" i="84"/>
  <c r="J31" i="84"/>
  <c r="L30" i="84"/>
  <c r="L57" i="83"/>
  <c r="J58" i="83"/>
  <c r="J31" i="83"/>
  <c r="L30" i="83"/>
  <c r="L57" i="82"/>
  <c r="J58" i="82"/>
  <c r="L30" i="82"/>
  <c r="J31" i="82"/>
  <c r="L58" i="85" l="1"/>
  <c r="J59" i="85"/>
  <c r="L31" i="85"/>
  <c r="J32" i="85"/>
  <c r="J32" i="84"/>
  <c r="L31" i="84"/>
  <c r="L55" i="84"/>
  <c r="J32" i="83"/>
  <c r="L31" i="83"/>
  <c r="L58" i="83"/>
  <c r="J59" i="83"/>
  <c r="J32" i="82"/>
  <c r="L31" i="82"/>
  <c r="J59" i="82"/>
  <c r="L58" i="82"/>
  <c r="L59" i="85" l="1"/>
  <c r="J60" i="85"/>
  <c r="J33" i="85"/>
  <c r="L32" i="85"/>
  <c r="L56" i="84"/>
  <c r="J33" i="84"/>
  <c r="L32" i="84"/>
  <c r="L59" i="83"/>
  <c r="J60" i="83"/>
  <c r="J33" i="83"/>
  <c r="L32" i="83"/>
  <c r="J60" i="82"/>
  <c r="L59" i="82"/>
  <c r="J33" i="82"/>
  <c r="L32" i="82"/>
  <c r="J34" i="85" l="1"/>
  <c r="L33" i="85"/>
  <c r="J61" i="85"/>
  <c r="L60" i="85"/>
  <c r="L33" i="84"/>
  <c r="J34" i="84"/>
  <c r="L57" i="84"/>
  <c r="J61" i="83"/>
  <c r="L60" i="83"/>
  <c r="L33" i="83"/>
  <c r="J34" i="83"/>
  <c r="J34" i="82"/>
  <c r="L33" i="82"/>
  <c r="J61" i="82"/>
  <c r="L60" i="82"/>
  <c r="J62" i="85" l="1"/>
  <c r="L61" i="85"/>
  <c r="L34" i="85"/>
  <c r="J35" i="85"/>
  <c r="L35" i="85" s="1"/>
  <c r="L58" i="84"/>
  <c r="L34" i="84"/>
  <c r="J35" i="84"/>
  <c r="L35" i="84" s="1"/>
  <c r="L34" i="83"/>
  <c r="J35" i="83"/>
  <c r="L35" i="83" s="1"/>
  <c r="L61" i="83"/>
  <c r="J62" i="83"/>
  <c r="J62" i="82"/>
  <c r="L61" i="82"/>
  <c r="L34" i="82"/>
  <c r="J35" i="82"/>
  <c r="L35" i="82" s="1"/>
  <c r="J63" i="85" l="1"/>
  <c r="L62" i="85"/>
  <c r="L59" i="84"/>
  <c r="J63" i="83"/>
  <c r="L62" i="83"/>
  <c r="J63" i="82"/>
  <c r="L62" i="82"/>
  <c r="L63" i="85" l="1"/>
  <c r="J64" i="85"/>
  <c r="L60" i="84"/>
  <c r="L63" i="83"/>
  <c r="J64" i="83"/>
  <c r="L63" i="82"/>
  <c r="J64" i="82"/>
  <c r="J65" i="85" l="1"/>
  <c r="L64" i="85"/>
  <c r="L61" i="84"/>
  <c r="J65" i="83"/>
  <c r="L64" i="83"/>
  <c r="L64" i="82"/>
  <c r="J65" i="82"/>
  <c r="L65" i="85" l="1"/>
  <c r="J66" i="85"/>
  <c r="L62" i="84"/>
  <c r="J66" i="83"/>
  <c r="L65" i="83"/>
  <c r="J66" i="82"/>
  <c r="L65" i="82"/>
  <c r="J67" i="85" l="1"/>
  <c r="L66" i="85"/>
  <c r="L63" i="84"/>
  <c r="L66" i="83"/>
  <c r="J67" i="83"/>
  <c r="J67" i="82"/>
  <c r="L66" i="82"/>
  <c r="J68" i="85" l="1"/>
  <c r="L67" i="85"/>
  <c r="L64" i="84"/>
  <c r="J68" i="83"/>
  <c r="L67" i="83"/>
  <c r="L67" i="82"/>
  <c r="J68" i="82"/>
  <c r="L68" i="85" l="1"/>
  <c r="J69" i="85"/>
  <c r="L65" i="84"/>
  <c r="L68" i="83"/>
  <c r="J69" i="83"/>
  <c r="L68" i="82"/>
  <c r="J69" i="82"/>
  <c r="J70" i="85" l="1"/>
  <c r="L69" i="85"/>
  <c r="L66" i="84"/>
  <c r="J70" i="83"/>
  <c r="L69" i="83"/>
  <c r="J70" i="82"/>
  <c r="L69" i="82"/>
  <c r="L70" i="85" l="1"/>
  <c r="J71" i="85"/>
  <c r="L67" i="84"/>
  <c r="L70" i="83"/>
  <c r="J71" i="83"/>
  <c r="L70" i="82"/>
  <c r="J71" i="82"/>
  <c r="L71" i="85" l="1"/>
  <c r="J72" i="85"/>
  <c r="L68" i="84"/>
  <c r="J72" i="83"/>
  <c r="L71" i="83"/>
  <c r="J72" i="82"/>
  <c r="L71" i="82"/>
  <c r="J73" i="85" l="1"/>
  <c r="L72" i="85"/>
  <c r="L69" i="84"/>
  <c r="J73" i="83"/>
  <c r="L72" i="83"/>
  <c r="J73" i="82"/>
  <c r="L72" i="82"/>
  <c r="L73" i="85" l="1"/>
  <c r="J74" i="85"/>
  <c r="L70" i="84"/>
  <c r="L73" i="83"/>
  <c r="J74" i="83"/>
  <c r="J74" i="82"/>
  <c r="L73" i="82"/>
  <c r="J75" i="85" l="1"/>
  <c r="L74" i="85"/>
  <c r="L71" i="84"/>
  <c r="J75" i="83"/>
  <c r="L74" i="83"/>
  <c r="L74" i="82"/>
  <c r="J75" i="82"/>
  <c r="J76" i="85" l="1"/>
  <c r="L76" i="85" s="1"/>
  <c r="L75" i="85"/>
  <c r="L73" i="84"/>
  <c r="L72" i="84"/>
  <c r="J76" i="83"/>
  <c r="L76" i="83" s="1"/>
  <c r="L75" i="83"/>
  <c r="J76" i="82"/>
  <c r="L76" i="82" s="1"/>
  <c r="L75" i="82"/>
  <c r="G60" i="4" l="1"/>
  <c r="G59" i="4"/>
  <c r="G58" i="4"/>
  <c r="G57" i="4"/>
  <c r="G56" i="4"/>
  <c r="L77" i="81"/>
  <c r="G77" i="81"/>
  <c r="G37" i="81"/>
  <c r="G36" i="81"/>
  <c r="G35" i="81"/>
  <c r="G34" i="81"/>
  <c r="G33" i="81"/>
  <c r="G32" i="81"/>
  <c r="G31" i="81"/>
  <c r="G30" i="81"/>
  <c r="G29" i="81"/>
  <c r="G28" i="81"/>
  <c r="G27" i="81"/>
  <c r="G26" i="81"/>
  <c r="G25" i="81"/>
  <c r="G24" i="81"/>
  <c r="G23" i="81"/>
  <c r="G22" i="81"/>
  <c r="G21" i="81"/>
  <c r="G20" i="81"/>
  <c r="G19" i="81"/>
  <c r="G18" i="81"/>
  <c r="G17" i="81"/>
  <c r="G16" i="81"/>
  <c r="G15" i="81"/>
  <c r="G14" i="81"/>
  <c r="G13" i="81"/>
  <c r="G12" i="81"/>
  <c r="G11" i="81"/>
  <c r="J11" i="81" s="1"/>
  <c r="G4" i="81"/>
  <c r="K77" i="80"/>
  <c r="G77" i="80"/>
  <c r="G37" i="80"/>
  <c r="G36" i="80"/>
  <c r="G35" i="80"/>
  <c r="G34" i="80"/>
  <c r="G33" i="80"/>
  <c r="G32" i="80"/>
  <c r="G31" i="80"/>
  <c r="G30" i="80"/>
  <c r="G29" i="80"/>
  <c r="G28" i="80"/>
  <c r="G27" i="80"/>
  <c r="G26" i="80"/>
  <c r="G25" i="80"/>
  <c r="G24" i="80"/>
  <c r="G23" i="80"/>
  <c r="G22" i="80"/>
  <c r="G21" i="80"/>
  <c r="G20" i="80"/>
  <c r="G19" i="80"/>
  <c r="G18" i="80"/>
  <c r="G17" i="80"/>
  <c r="G16" i="80"/>
  <c r="G15" i="80"/>
  <c r="G14" i="80"/>
  <c r="G13" i="80"/>
  <c r="G12" i="80"/>
  <c r="G11" i="80"/>
  <c r="I11" i="80" s="1"/>
  <c r="K11" i="80" s="1"/>
  <c r="G4" i="80"/>
  <c r="G44" i="35"/>
  <c r="G38" i="80" l="1"/>
  <c r="G3" i="80" s="1"/>
  <c r="G38" i="81"/>
  <c r="G3" i="81" s="1"/>
  <c r="L11" i="81"/>
  <c r="J12" i="81"/>
  <c r="L38" i="81"/>
  <c r="K38" i="80"/>
  <c r="I12" i="80"/>
  <c r="L12" i="81" l="1"/>
  <c r="J13" i="81"/>
  <c r="K12" i="80"/>
  <c r="I13" i="80"/>
  <c r="J14" i="81" l="1"/>
  <c r="J41" i="81"/>
  <c r="L13" i="81"/>
  <c r="K13" i="80"/>
  <c r="I41" i="80"/>
  <c r="I14" i="80"/>
  <c r="J42" i="81" l="1"/>
  <c r="L41" i="81"/>
  <c r="J15" i="81"/>
  <c r="L14" i="81"/>
  <c r="K14" i="80"/>
  <c r="I15" i="80"/>
  <c r="I42" i="80"/>
  <c r="K41" i="80"/>
  <c r="J16" i="81" l="1"/>
  <c r="L15" i="81"/>
  <c r="L42" i="81"/>
  <c r="J43" i="81"/>
  <c r="K42" i="80"/>
  <c r="I43" i="80"/>
  <c r="I16" i="80"/>
  <c r="K15" i="80"/>
  <c r="J44" i="81" l="1"/>
  <c r="L43" i="81"/>
  <c r="L16" i="81"/>
  <c r="J17" i="81"/>
  <c r="I17" i="80"/>
  <c r="K16" i="80"/>
  <c r="I44" i="80"/>
  <c r="K43" i="80"/>
  <c r="J18" i="81" l="1"/>
  <c r="L17" i="81"/>
  <c r="J45" i="81"/>
  <c r="L44" i="81"/>
  <c r="K44" i="80"/>
  <c r="I45" i="80"/>
  <c r="K17" i="80"/>
  <c r="I18" i="80"/>
  <c r="J46" i="81" l="1"/>
  <c r="L45" i="81"/>
  <c r="J19" i="81"/>
  <c r="L18" i="81"/>
  <c r="I19" i="80"/>
  <c r="K18" i="80"/>
  <c r="I46" i="80"/>
  <c r="K45" i="80"/>
  <c r="J20" i="81" l="1"/>
  <c r="L19" i="81"/>
  <c r="J36" i="81"/>
  <c r="J47" i="81"/>
  <c r="L46" i="81"/>
  <c r="I47" i="80"/>
  <c r="K46" i="80"/>
  <c r="K19" i="80"/>
  <c r="I20" i="80"/>
  <c r="I36" i="80"/>
  <c r="L47" i="81" l="1"/>
  <c r="J48" i="81"/>
  <c r="J37" i="81"/>
  <c r="L37" i="81" s="1"/>
  <c r="L36" i="81"/>
  <c r="L20" i="81"/>
  <c r="J21" i="81"/>
  <c r="I37" i="80"/>
  <c r="K37" i="80" s="1"/>
  <c r="K36" i="80"/>
  <c r="K20" i="80"/>
  <c r="I21" i="80"/>
  <c r="I48" i="80"/>
  <c r="K47" i="80"/>
  <c r="L21" i="81" l="1"/>
  <c r="J22" i="81"/>
  <c r="J49" i="81"/>
  <c r="L48" i="81"/>
  <c r="I49" i="80"/>
  <c r="K48" i="80"/>
  <c r="K21" i="80"/>
  <c r="I22" i="80"/>
  <c r="L49" i="81" l="1"/>
  <c r="J50" i="81"/>
  <c r="J23" i="81"/>
  <c r="L22" i="81"/>
  <c r="I23" i="80"/>
  <c r="K22" i="80"/>
  <c r="K49" i="80"/>
  <c r="I50" i="80"/>
  <c r="L23" i="81" l="1"/>
  <c r="J24" i="81"/>
  <c r="L50" i="81"/>
  <c r="J51" i="81"/>
  <c r="I51" i="80"/>
  <c r="K50" i="80"/>
  <c r="I24" i="80"/>
  <c r="K23" i="80"/>
  <c r="J52" i="81" l="1"/>
  <c r="L51" i="81"/>
  <c r="J25" i="81"/>
  <c r="L24" i="81"/>
  <c r="I25" i="80"/>
  <c r="K24" i="80"/>
  <c r="K51" i="80"/>
  <c r="I52" i="80"/>
  <c r="L25" i="81" l="1"/>
  <c r="J26" i="81"/>
  <c r="J53" i="81"/>
  <c r="L52" i="81"/>
  <c r="I53" i="80"/>
  <c r="K52" i="80"/>
  <c r="K25" i="80"/>
  <c r="I26" i="80"/>
  <c r="L53" i="81" l="1"/>
  <c r="J54" i="81"/>
  <c r="L26" i="81"/>
  <c r="J27" i="81"/>
  <c r="K26" i="80"/>
  <c r="I27" i="80"/>
  <c r="K53" i="80"/>
  <c r="I54" i="80"/>
  <c r="J28" i="81" l="1"/>
  <c r="L27" i="81"/>
  <c r="L54" i="81"/>
  <c r="J55" i="81"/>
  <c r="I55" i="80"/>
  <c r="K54" i="80"/>
  <c r="I28" i="80"/>
  <c r="K27" i="80"/>
  <c r="J56" i="81" l="1"/>
  <c r="L55" i="81"/>
  <c r="L28" i="81"/>
  <c r="J29" i="81"/>
  <c r="I29" i="80"/>
  <c r="K28" i="80"/>
  <c r="I56" i="80"/>
  <c r="K55" i="80"/>
  <c r="J30" i="81" l="1"/>
  <c r="L29" i="81"/>
  <c r="L56" i="81"/>
  <c r="J57" i="81"/>
  <c r="K56" i="80"/>
  <c r="I57" i="80"/>
  <c r="I30" i="80"/>
  <c r="K29" i="80"/>
  <c r="J58" i="81" l="1"/>
  <c r="L57" i="81"/>
  <c r="J31" i="81"/>
  <c r="L30" i="81"/>
  <c r="I31" i="80"/>
  <c r="K30" i="80"/>
  <c r="I58" i="80"/>
  <c r="K57" i="80"/>
  <c r="J32" i="81" l="1"/>
  <c r="L31" i="81"/>
  <c r="J59" i="81"/>
  <c r="L58" i="81"/>
  <c r="K58" i="80"/>
  <c r="I59" i="80"/>
  <c r="I32" i="80"/>
  <c r="K31" i="80"/>
  <c r="J60" i="81" l="1"/>
  <c r="L59" i="81"/>
  <c r="J33" i="81"/>
  <c r="L32" i="81"/>
  <c r="K32" i="80"/>
  <c r="I33" i="80"/>
  <c r="K59" i="80"/>
  <c r="I60" i="80"/>
  <c r="J34" i="81" l="1"/>
  <c r="L33" i="81"/>
  <c r="J61" i="81"/>
  <c r="L60" i="81"/>
  <c r="I61" i="80"/>
  <c r="K60" i="80"/>
  <c r="I34" i="80"/>
  <c r="K33" i="80"/>
  <c r="L61" i="81" l="1"/>
  <c r="J62" i="81"/>
  <c r="L34" i="81"/>
  <c r="J35" i="81"/>
  <c r="L35" i="81" s="1"/>
  <c r="K34" i="80"/>
  <c r="I35" i="80"/>
  <c r="K35" i="80" s="1"/>
  <c r="I62" i="80"/>
  <c r="K61" i="80"/>
  <c r="J63" i="81" l="1"/>
  <c r="L62" i="81"/>
  <c r="I63" i="80"/>
  <c r="K62" i="80"/>
  <c r="L63" i="81" l="1"/>
  <c r="J64" i="81"/>
  <c r="K63" i="80"/>
  <c r="I64" i="80"/>
  <c r="L64" i="81" l="1"/>
  <c r="J65" i="81"/>
  <c r="K64" i="80"/>
  <c r="I65" i="80"/>
  <c r="J66" i="81" l="1"/>
  <c r="L65" i="81"/>
  <c r="K65" i="80"/>
  <c r="I66" i="80"/>
  <c r="J67" i="81" l="1"/>
  <c r="L66" i="81"/>
  <c r="I67" i="80"/>
  <c r="K66" i="80"/>
  <c r="L67" i="81" l="1"/>
  <c r="J68" i="81"/>
  <c r="I68" i="80"/>
  <c r="K67" i="80"/>
  <c r="J69" i="81" l="1"/>
  <c r="L68" i="81"/>
  <c r="I69" i="80"/>
  <c r="K68" i="80"/>
  <c r="J70" i="81" l="1"/>
  <c r="L69" i="81"/>
  <c r="I70" i="80"/>
  <c r="K69" i="80"/>
  <c r="L70" i="81" l="1"/>
  <c r="J71" i="81"/>
  <c r="K70" i="80"/>
  <c r="I71" i="80"/>
  <c r="J72" i="81" l="1"/>
  <c r="L71" i="81"/>
  <c r="I72" i="80"/>
  <c r="K71" i="80"/>
  <c r="J73" i="81" l="1"/>
  <c r="L72" i="81"/>
  <c r="K72" i="80"/>
  <c r="I73" i="80"/>
  <c r="J74" i="81" l="1"/>
  <c r="L73" i="81"/>
  <c r="I74" i="80"/>
  <c r="K73" i="80"/>
  <c r="J75" i="81" l="1"/>
  <c r="L74" i="81"/>
  <c r="I75" i="80"/>
  <c r="K74" i="80"/>
  <c r="G43" i="35"/>
  <c r="G11" i="78"/>
  <c r="I11" i="78" s="1"/>
  <c r="K11" i="78" s="1"/>
  <c r="G41" i="78"/>
  <c r="G77" i="78" s="1"/>
  <c r="K77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G13" i="78"/>
  <c r="G12" i="78"/>
  <c r="G4" i="78"/>
  <c r="G71" i="24"/>
  <c r="G4" i="24"/>
  <c r="K77" i="77"/>
  <c r="G77" i="77"/>
  <c r="G37" i="77"/>
  <c r="G36" i="77"/>
  <c r="G35" i="77"/>
  <c r="G34" i="77"/>
  <c r="G33" i="77"/>
  <c r="G32" i="77"/>
  <c r="G31" i="77"/>
  <c r="G30" i="77"/>
  <c r="G29" i="77"/>
  <c r="G28" i="77"/>
  <c r="G27" i="77"/>
  <c r="G26" i="77"/>
  <c r="G25" i="77"/>
  <c r="G24" i="77"/>
  <c r="G23" i="77"/>
  <c r="G22" i="77"/>
  <c r="G21" i="77"/>
  <c r="G20" i="77"/>
  <c r="G19" i="77"/>
  <c r="G18" i="77"/>
  <c r="G17" i="77"/>
  <c r="G16" i="77"/>
  <c r="G15" i="77"/>
  <c r="G14" i="77"/>
  <c r="G13" i="77"/>
  <c r="G12" i="77"/>
  <c r="G11" i="77"/>
  <c r="I11" i="77" s="1"/>
  <c r="G4" i="77"/>
  <c r="K76" i="76"/>
  <c r="G76" i="76"/>
  <c r="G37" i="76"/>
  <c r="G36" i="76"/>
  <c r="G35" i="76"/>
  <c r="G34" i="76"/>
  <c r="G33" i="76"/>
  <c r="G32" i="76"/>
  <c r="G31" i="76"/>
  <c r="G30" i="76"/>
  <c r="G29" i="76"/>
  <c r="G28" i="76"/>
  <c r="G27" i="76"/>
  <c r="G26" i="76"/>
  <c r="G25" i="76"/>
  <c r="G24" i="76"/>
  <c r="G23" i="76"/>
  <c r="G22" i="76"/>
  <c r="G21" i="76"/>
  <c r="G20" i="76"/>
  <c r="G19" i="76"/>
  <c r="G18" i="76"/>
  <c r="G17" i="76"/>
  <c r="G16" i="76"/>
  <c r="G15" i="76"/>
  <c r="G14" i="76"/>
  <c r="G13" i="76"/>
  <c r="G11" i="76"/>
  <c r="I11" i="76" s="1"/>
  <c r="G4" i="76"/>
  <c r="G42" i="69"/>
  <c r="G41" i="69"/>
  <c r="K77" i="75"/>
  <c r="G77" i="75"/>
  <c r="G37" i="75"/>
  <c r="G36" i="75"/>
  <c r="G35" i="75"/>
  <c r="G34" i="75"/>
  <c r="G33" i="75"/>
  <c r="G32" i="75"/>
  <c r="G31" i="75"/>
  <c r="G30" i="75"/>
  <c r="G29" i="75"/>
  <c r="G28" i="75"/>
  <c r="G27" i="75"/>
  <c r="G26" i="75"/>
  <c r="G25" i="75"/>
  <c r="G24" i="75"/>
  <c r="G23" i="75"/>
  <c r="G22" i="75"/>
  <c r="G21" i="75"/>
  <c r="G20" i="75"/>
  <c r="G19" i="75"/>
  <c r="G18" i="75"/>
  <c r="G17" i="75"/>
  <c r="G16" i="75"/>
  <c r="G15" i="75"/>
  <c r="G14" i="75"/>
  <c r="G13" i="75"/>
  <c r="G12" i="75"/>
  <c r="G11" i="75"/>
  <c r="I11" i="75" s="1"/>
  <c r="K11" i="75" s="1"/>
  <c r="G4" i="75"/>
  <c r="G50" i="52"/>
  <c r="G48" i="37"/>
  <c r="K77" i="74"/>
  <c r="G77" i="74"/>
  <c r="G37" i="74"/>
  <c r="G36" i="74"/>
  <c r="G35" i="74"/>
  <c r="G34" i="74"/>
  <c r="G33" i="74"/>
  <c r="G32" i="74"/>
  <c r="G31" i="74"/>
  <c r="G30" i="74"/>
  <c r="G29" i="74"/>
  <c r="G28" i="74"/>
  <c r="G27" i="74"/>
  <c r="G26" i="74"/>
  <c r="G25" i="74"/>
  <c r="G24" i="74"/>
  <c r="G23" i="74"/>
  <c r="G22" i="74"/>
  <c r="G21" i="74"/>
  <c r="G20" i="74"/>
  <c r="G19" i="74"/>
  <c r="G18" i="74"/>
  <c r="G17" i="74"/>
  <c r="G16" i="74"/>
  <c r="G15" i="74"/>
  <c r="G14" i="74"/>
  <c r="G13" i="74"/>
  <c r="G12" i="74"/>
  <c r="G11" i="74"/>
  <c r="I11" i="74" s="1"/>
  <c r="G4" i="74"/>
  <c r="K77" i="73"/>
  <c r="G77" i="73"/>
  <c r="G37" i="73"/>
  <c r="G36" i="73"/>
  <c r="G35" i="73"/>
  <c r="G34" i="73"/>
  <c r="G33" i="73"/>
  <c r="G32" i="73"/>
  <c r="G31" i="73"/>
  <c r="G30" i="73"/>
  <c r="G29" i="73"/>
  <c r="G28" i="73"/>
  <c r="G27" i="73"/>
  <c r="G26" i="73"/>
  <c r="G25" i="73"/>
  <c r="G24" i="73"/>
  <c r="G23" i="73"/>
  <c r="G22" i="73"/>
  <c r="G21" i="73"/>
  <c r="G20" i="73"/>
  <c r="G19" i="73"/>
  <c r="G18" i="73"/>
  <c r="G17" i="73"/>
  <c r="G16" i="73"/>
  <c r="G15" i="73"/>
  <c r="G14" i="73"/>
  <c r="G13" i="73"/>
  <c r="G12" i="73"/>
  <c r="G11" i="73"/>
  <c r="I11" i="73" s="1"/>
  <c r="K11" i="73" s="1"/>
  <c r="G4" i="73"/>
  <c r="G42" i="71"/>
  <c r="G78" i="71" s="1"/>
  <c r="K77" i="72"/>
  <c r="G77" i="72"/>
  <c r="G37" i="72"/>
  <c r="G36" i="72"/>
  <c r="G35" i="72"/>
  <c r="G34" i="72"/>
  <c r="G33" i="72"/>
  <c r="G32" i="72"/>
  <c r="G31" i="72"/>
  <c r="G30" i="72"/>
  <c r="G29" i="72"/>
  <c r="G28" i="72"/>
  <c r="G27" i="72"/>
  <c r="G26" i="72"/>
  <c r="G25" i="72"/>
  <c r="G24" i="72"/>
  <c r="G23" i="72"/>
  <c r="G22" i="72"/>
  <c r="G21" i="72"/>
  <c r="G20" i="72"/>
  <c r="G19" i="72"/>
  <c r="G18" i="72"/>
  <c r="G17" i="72"/>
  <c r="G16" i="72"/>
  <c r="G15" i="72"/>
  <c r="G14" i="72"/>
  <c r="G13" i="72"/>
  <c r="G12" i="72"/>
  <c r="G11" i="72"/>
  <c r="I11" i="72" s="1"/>
  <c r="K11" i="72" s="1"/>
  <c r="G4" i="72"/>
  <c r="G42" i="70"/>
  <c r="G77" i="70" s="1"/>
  <c r="G85" i="21"/>
  <c r="G40" i="25"/>
  <c r="G41" i="25"/>
  <c r="G56" i="19"/>
  <c r="K78" i="71"/>
  <c r="G38" i="71"/>
  <c r="G37" i="71"/>
  <c r="G36" i="71"/>
  <c r="G35" i="71"/>
  <c r="G34" i="71"/>
  <c r="G33" i="71"/>
  <c r="G32" i="71"/>
  <c r="G31" i="71"/>
  <c r="G30" i="71"/>
  <c r="G29" i="71"/>
  <c r="G22" i="71"/>
  <c r="G20" i="71"/>
  <c r="G11" i="71"/>
  <c r="G4" i="71"/>
  <c r="K77" i="70"/>
  <c r="G37" i="70"/>
  <c r="G36" i="70"/>
  <c r="G35" i="70"/>
  <c r="G34" i="70"/>
  <c r="G33" i="70"/>
  <c r="G32" i="70"/>
  <c r="G31" i="70"/>
  <c r="G30" i="70"/>
  <c r="G29" i="70"/>
  <c r="G28" i="70"/>
  <c r="G27" i="70"/>
  <c r="G26" i="70"/>
  <c r="G25" i="70"/>
  <c r="G24" i="70"/>
  <c r="G23" i="70"/>
  <c r="G22" i="70"/>
  <c r="G21" i="70"/>
  <c r="G20" i="70"/>
  <c r="G19" i="70"/>
  <c r="G18" i="70"/>
  <c r="G17" i="70"/>
  <c r="G16" i="70"/>
  <c r="G15" i="70"/>
  <c r="G14" i="70"/>
  <c r="G13" i="70"/>
  <c r="G12" i="70"/>
  <c r="G11" i="70"/>
  <c r="I11" i="70" s="1"/>
  <c r="G4" i="70"/>
  <c r="G43" i="4"/>
  <c r="G44" i="4"/>
  <c r="K77" i="69"/>
  <c r="G37" i="69"/>
  <c r="G36" i="69"/>
  <c r="G35" i="69"/>
  <c r="G34" i="69"/>
  <c r="G33" i="69"/>
  <c r="G32" i="69"/>
  <c r="G31" i="69"/>
  <c r="G30" i="69"/>
  <c r="G29" i="69"/>
  <c r="G28" i="69"/>
  <c r="G27" i="69"/>
  <c r="G26" i="69"/>
  <c r="G25" i="69"/>
  <c r="G24" i="69"/>
  <c r="G23" i="69"/>
  <c r="G22" i="69"/>
  <c r="G21" i="69"/>
  <c r="G20" i="69"/>
  <c r="G19" i="69"/>
  <c r="G18" i="69"/>
  <c r="G17" i="69"/>
  <c r="G16" i="69"/>
  <c r="G15" i="69"/>
  <c r="G14" i="69"/>
  <c r="G13" i="69"/>
  <c r="G12" i="69"/>
  <c r="G11" i="69"/>
  <c r="I11" i="69" s="1"/>
  <c r="G4" i="69"/>
  <c r="G41" i="68"/>
  <c r="G77" i="68" s="1"/>
  <c r="K77" i="68"/>
  <c r="G37" i="68"/>
  <c r="G36" i="68"/>
  <c r="G35" i="68"/>
  <c r="G34" i="68"/>
  <c r="G33" i="68"/>
  <c r="G32" i="68"/>
  <c r="G31" i="68"/>
  <c r="G30" i="68"/>
  <c r="G29" i="68"/>
  <c r="G28" i="68"/>
  <c r="G27" i="68"/>
  <c r="G26" i="68"/>
  <c r="G25" i="68"/>
  <c r="G24" i="68"/>
  <c r="G23" i="68"/>
  <c r="G22" i="68"/>
  <c r="G21" i="68"/>
  <c r="G20" i="68"/>
  <c r="G19" i="68"/>
  <c r="G18" i="68"/>
  <c r="G17" i="68"/>
  <c r="G16" i="68"/>
  <c r="G15" i="68"/>
  <c r="G14" i="68"/>
  <c r="G13" i="68"/>
  <c r="G12" i="68"/>
  <c r="G11" i="68"/>
  <c r="I11" i="68" s="1"/>
  <c r="G4" i="68"/>
  <c r="G54" i="31"/>
  <c r="G57" i="23"/>
  <c r="G72" i="23"/>
  <c r="K77" i="67"/>
  <c r="G77" i="67"/>
  <c r="G37" i="67"/>
  <c r="G36" i="67"/>
  <c r="G35" i="67"/>
  <c r="G34" i="67"/>
  <c r="G33" i="67"/>
  <c r="G32" i="67"/>
  <c r="G31" i="67"/>
  <c r="G30" i="67"/>
  <c r="G29" i="67"/>
  <c r="G28" i="67"/>
  <c r="G27" i="67"/>
  <c r="G26" i="67"/>
  <c r="G25" i="67"/>
  <c r="G24" i="67"/>
  <c r="G23" i="67"/>
  <c r="G22" i="67"/>
  <c r="G21" i="67"/>
  <c r="G20" i="67"/>
  <c r="G19" i="67"/>
  <c r="G18" i="67"/>
  <c r="G17" i="67"/>
  <c r="G16" i="67"/>
  <c r="G15" i="67"/>
  <c r="G14" i="67"/>
  <c r="G13" i="67"/>
  <c r="G12" i="67"/>
  <c r="G11" i="67"/>
  <c r="I11" i="67" s="1"/>
  <c r="G4" i="67"/>
  <c r="G38" i="20"/>
  <c r="G40" i="20"/>
  <c r="K85" i="66"/>
  <c r="G85" i="66"/>
  <c r="G24" i="66"/>
  <c r="G23" i="66"/>
  <c r="G22" i="66"/>
  <c r="G21" i="66"/>
  <c r="G20" i="66"/>
  <c r="G19" i="66"/>
  <c r="G18" i="66"/>
  <c r="G17" i="66"/>
  <c r="G16" i="66"/>
  <c r="G15" i="66"/>
  <c r="G13" i="66"/>
  <c r="G12" i="66"/>
  <c r="G11" i="66"/>
  <c r="G4" i="66"/>
  <c r="G29" i="32"/>
  <c r="G28" i="32"/>
  <c r="G27" i="32"/>
  <c r="G42" i="65"/>
  <c r="G77" i="65" s="1"/>
  <c r="K77" i="65"/>
  <c r="G37" i="65"/>
  <c r="G36" i="65"/>
  <c r="G35" i="65"/>
  <c r="G34" i="65"/>
  <c r="G33" i="65"/>
  <c r="G32" i="65"/>
  <c r="G31" i="65"/>
  <c r="G30" i="65"/>
  <c r="G29" i="65"/>
  <c r="G28" i="65"/>
  <c r="G27" i="65"/>
  <c r="G26" i="65"/>
  <c r="G25" i="65"/>
  <c r="G24" i="65"/>
  <c r="G23" i="65"/>
  <c r="G22" i="65"/>
  <c r="G21" i="65"/>
  <c r="G20" i="65"/>
  <c r="G19" i="65"/>
  <c r="G18" i="65"/>
  <c r="G17" i="65"/>
  <c r="G16" i="65"/>
  <c r="G15" i="65"/>
  <c r="G14" i="65"/>
  <c r="G13" i="65"/>
  <c r="G12" i="65"/>
  <c r="G11" i="65"/>
  <c r="I11" i="65" s="1"/>
  <c r="K11" i="65" s="1"/>
  <c r="G4" i="65"/>
  <c r="G54" i="55"/>
  <c r="G39" i="25"/>
  <c r="G38" i="25"/>
  <c r="G37" i="25"/>
  <c r="G34" i="25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52" i="31"/>
  <c r="K77" i="64"/>
  <c r="G77" i="64"/>
  <c r="G37" i="64"/>
  <c r="G36" i="64"/>
  <c r="G35" i="64"/>
  <c r="G34" i="64"/>
  <c r="G33" i="64"/>
  <c r="G32" i="64"/>
  <c r="G31" i="64"/>
  <c r="G30" i="64"/>
  <c r="G29" i="64"/>
  <c r="G28" i="64"/>
  <c r="G27" i="64"/>
  <c r="G26" i="64"/>
  <c r="G25" i="64"/>
  <c r="G24" i="64"/>
  <c r="G23" i="64"/>
  <c r="G22" i="64"/>
  <c r="G21" i="64"/>
  <c r="G20" i="64"/>
  <c r="G19" i="64"/>
  <c r="G18" i="64"/>
  <c r="G17" i="64"/>
  <c r="G16" i="64"/>
  <c r="G15" i="64"/>
  <c r="G14" i="64"/>
  <c r="G13" i="64"/>
  <c r="G12" i="64"/>
  <c r="G11" i="64"/>
  <c r="I11" i="64" s="1"/>
  <c r="K11" i="64" s="1"/>
  <c r="G4" i="64"/>
  <c r="G41" i="4"/>
  <c r="G39" i="4"/>
  <c r="G37" i="4"/>
  <c r="G36" i="4"/>
  <c r="G34" i="4"/>
  <c r="K77" i="63"/>
  <c r="G77" i="63"/>
  <c r="G37" i="63"/>
  <c r="G36" i="63"/>
  <c r="G35" i="63"/>
  <c r="G34" i="63"/>
  <c r="G33" i="63"/>
  <c r="G32" i="63"/>
  <c r="G31" i="63"/>
  <c r="G30" i="63"/>
  <c r="G29" i="63"/>
  <c r="G28" i="63"/>
  <c r="G27" i="63"/>
  <c r="G26" i="63"/>
  <c r="G25" i="63"/>
  <c r="G24" i="63"/>
  <c r="G23" i="63"/>
  <c r="G22" i="63"/>
  <c r="G21" i="63"/>
  <c r="G20" i="63"/>
  <c r="G19" i="63"/>
  <c r="G18" i="63"/>
  <c r="G17" i="63"/>
  <c r="G16" i="63"/>
  <c r="G15" i="63"/>
  <c r="G14" i="63"/>
  <c r="G13" i="63"/>
  <c r="G12" i="63"/>
  <c r="G11" i="63"/>
  <c r="I11" i="63" s="1"/>
  <c r="K11" i="63" s="1"/>
  <c r="G4" i="63"/>
  <c r="K77" i="62"/>
  <c r="G77" i="62"/>
  <c r="G37" i="62"/>
  <c r="G36" i="62"/>
  <c r="G35" i="62"/>
  <c r="G34" i="62"/>
  <c r="G33" i="62"/>
  <c r="G32" i="62"/>
  <c r="G31" i="62"/>
  <c r="G30" i="62"/>
  <c r="G29" i="62"/>
  <c r="G28" i="62"/>
  <c r="G27" i="62"/>
  <c r="G26" i="62"/>
  <c r="G25" i="62"/>
  <c r="G24" i="62"/>
  <c r="G23" i="62"/>
  <c r="G22" i="62"/>
  <c r="G21" i="62"/>
  <c r="G20" i="62"/>
  <c r="G19" i="62"/>
  <c r="G18" i="62"/>
  <c r="G17" i="62"/>
  <c r="G16" i="62"/>
  <c r="G15" i="62"/>
  <c r="G14" i="62"/>
  <c r="G13" i="62"/>
  <c r="G12" i="62"/>
  <c r="G11" i="62"/>
  <c r="I11" i="62" s="1"/>
  <c r="G4" i="62"/>
  <c r="K77" i="61"/>
  <c r="G77" i="61"/>
  <c r="G37" i="61"/>
  <c r="G36" i="61"/>
  <c r="G35" i="61"/>
  <c r="G34" i="61"/>
  <c r="G33" i="61"/>
  <c r="G32" i="61"/>
  <c r="G31" i="61"/>
  <c r="G30" i="61"/>
  <c r="G29" i="61"/>
  <c r="G28" i="61"/>
  <c r="G27" i="61"/>
  <c r="G26" i="61"/>
  <c r="G25" i="61"/>
  <c r="G24" i="61"/>
  <c r="G23" i="61"/>
  <c r="G22" i="61"/>
  <c r="G21" i="61"/>
  <c r="G20" i="61"/>
  <c r="G19" i="61"/>
  <c r="G18" i="61"/>
  <c r="G17" i="61"/>
  <c r="G16" i="61"/>
  <c r="G15" i="61"/>
  <c r="G14" i="61"/>
  <c r="G13" i="61"/>
  <c r="G12" i="61"/>
  <c r="G11" i="61"/>
  <c r="I11" i="61" s="1"/>
  <c r="G4" i="61"/>
  <c r="G77" i="69" l="1"/>
  <c r="K38" i="72"/>
  <c r="G38" i="62"/>
  <c r="G3" i="62" s="1"/>
  <c r="K38" i="67"/>
  <c r="G38" i="77"/>
  <c r="G3" i="77" s="1"/>
  <c r="K38" i="73"/>
  <c r="G38" i="65"/>
  <c r="G3" i="65" s="1"/>
  <c r="G38" i="63"/>
  <c r="G3" i="63" s="1"/>
  <c r="G38" i="68"/>
  <c r="K38" i="74"/>
  <c r="K38" i="78"/>
  <c r="K25" i="66"/>
  <c r="I12" i="64"/>
  <c r="K12" i="64" s="1"/>
  <c r="G38" i="75"/>
  <c r="G3" i="75" s="1"/>
  <c r="K38" i="61"/>
  <c r="L75" i="81"/>
  <c r="J76" i="81"/>
  <c r="L76" i="81" s="1"/>
  <c r="I76" i="80"/>
  <c r="K76" i="80" s="1"/>
  <c r="K75" i="80"/>
  <c r="I12" i="78"/>
  <c r="G38" i="78"/>
  <c r="G3" i="78" s="1"/>
  <c r="K11" i="77"/>
  <c r="I12" i="77"/>
  <c r="K38" i="77"/>
  <c r="K11" i="76"/>
  <c r="I12" i="76"/>
  <c r="G38" i="76"/>
  <c r="G3" i="76" s="1"/>
  <c r="K38" i="76"/>
  <c r="K38" i="75"/>
  <c r="I12" i="75"/>
  <c r="K11" i="74"/>
  <c r="I12" i="74"/>
  <c r="G38" i="74"/>
  <c r="G3" i="74" s="1"/>
  <c r="I12" i="73"/>
  <c r="G38" i="73"/>
  <c r="G3" i="73" s="1"/>
  <c r="K39" i="71"/>
  <c r="I12" i="72"/>
  <c r="G38" i="72"/>
  <c r="G3" i="72" s="1"/>
  <c r="I11" i="71"/>
  <c r="G39" i="71"/>
  <c r="G3" i="71" s="1"/>
  <c r="K38" i="70"/>
  <c r="I12" i="70"/>
  <c r="K11" i="70"/>
  <c r="G38" i="70"/>
  <c r="G3" i="70" s="1"/>
  <c r="K38" i="69"/>
  <c r="K11" i="69"/>
  <c r="I12" i="69"/>
  <c r="G38" i="69"/>
  <c r="G3" i="69" s="1"/>
  <c r="G3" i="68"/>
  <c r="K11" i="68"/>
  <c r="I12" i="68"/>
  <c r="K38" i="68"/>
  <c r="K11" i="67"/>
  <c r="I12" i="67"/>
  <c r="G38" i="67"/>
  <c r="G3" i="67" s="1"/>
  <c r="G25" i="66"/>
  <c r="G3" i="66" s="1"/>
  <c r="I11" i="66"/>
  <c r="K38" i="65"/>
  <c r="I12" i="65"/>
  <c r="G38" i="64"/>
  <c r="G3" i="64" s="1"/>
  <c r="K38" i="64"/>
  <c r="K38" i="63"/>
  <c r="I12" i="63"/>
  <c r="K11" i="62"/>
  <c r="I12" i="62"/>
  <c r="K38" i="62"/>
  <c r="K11" i="61"/>
  <c r="I12" i="61"/>
  <c r="G38" i="61"/>
  <c r="G3" i="61" s="1"/>
  <c r="I13" i="64" l="1"/>
  <c r="K12" i="78"/>
  <c r="I13" i="78"/>
  <c r="I13" i="77"/>
  <c r="K12" i="77"/>
  <c r="I13" i="76"/>
  <c r="K12" i="76"/>
  <c r="K12" i="75"/>
  <c r="I13" i="75"/>
  <c r="I13" i="74"/>
  <c r="K12" i="74"/>
  <c r="I13" i="73"/>
  <c r="K12" i="73"/>
  <c r="I13" i="72"/>
  <c r="K12" i="72"/>
  <c r="I12" i="71"/>
  <c r="K11" i="71"/>
  <c r="I13" i="70"/>
  <c r="K12" i="70"/>
  <c r="I13" i="69"/>
  <c r="K12" i="69"/>
  <c r="I13" i="68"/>
  <c r="K12" i="68"/>
  <c r="I13" i="67"/>
  <c r="K12" i="67"/>
  <c r="K11" i="66"/>
  <c r="I12" i="66"/>
  <c r="K12" i="65"/>
  <c r="I13" i="65"/>
  <c r="I14" i="64"/>
  <c r="I41" i="64"/>
  <c r="K13" i="64"/>
  <c r="I13" i="63"/>
  <c r="K12" i="63"/>
  <c r="I13" i="62"/>
  <c r="K12" i="62"/>
  <c r="I13" i="61"/>
  <c r="K12" i="61"/>
  <c r="I14" i="78" l="1"/>
  <c r="I41" i="78"/>
  <c r="K13" i="78"/>
  <c r="I41" i="77"/>
  <c r="I14" i="77"/>
  <c r="K13" i="77"/>
  <c r="I41" i="76"/>
  <c r="I14" i="76"/>
  <c r="K13" i="76"/>
  <c r="I14" i="75"/>
  <c r="I41" i="75"/>
  <c r="K13" i="75"/>
  <c r="I41" i="74"/>
  <c r="I14" i="74"/>
  <c r="K13" i="74"/>
  <c r="I14" i="73"/>
  <c r="I41" i="73"/>
  <c r="K13" i="73"/>
  <c r="I14" i="72"/>
  <c r="I41" i="72"/>
  <c r="K13" i="72"/>
  <c r="K12" i="71"/>
  <c r="I13" i="71"/>
  <c r="K13" i="70"/>
  <c r="I14" i="70"/>
  <c r="I41" i="70"/>
  <c r="K13" i="69"/>
  <c r="I14" i="69"/>
  <c r="I41" i="69"/>
  <c r="I14" i="68"/>
  <c r="I41" i="68"/>
  <c r="K13" i="68"/>
  <c r="I14" i="67"/>
  <c r="I41" i="67"/>
  <c r="K13" i="67"/>
  <c r="I13" i="66"/>
  <c r="K12" i="66"/>
  <c r="I14" i="65"/>
  <c r="I41" i="65"/>
  <c r="K13" i="65"/>
  <c r="I42" i="64"/>
  <c r="K41" i="64"/>
  <c r="K14" i="64"/>
  <c r="I15" i="64"/>
  <c r="I14" i="63"/>
  <c r="K13" i="63"/>
  <c r="I41" i="63"/>
  <c r="I41" i="62"/>
  <c r="I14" i="62"/>
  <c r="K13" i="62"/>
  <c r="I14" i="61"/>
  <c r="K13" i="61"/>
  <c r="I41" i="61"/>
  <c r="I42" i="78" l="1"/>
  <c r="K41" i="78"/>
  <c r="I15" i="78"/>
  <c r="K14" i="78"/>
  <c r="K14" i="77"/>
  <c r="I15" i="77"/>
  <c r="I42" i="77"/>
  <c r="K41" i="77"/>
  <c r="I15" i="76"/>
  <c r="K14" i="76"/>
  <c r="I42" i="76"/>
  <c r="K41" i="76"/>
  <c r="I42" i="75"/>
  <c r="K41" i="75"/>
  <c r="K14" i="75"/>
  <c r="I15" i="75"/>
  <c r="K14" i="74"/>
  <c r="I15" i="74"/>
  <c r="I42" i="74"/>
  <c r="K41" i="74"/>
  <c r="I42" i="73"/>
  <c r="K41" i="73"/>
  <c r="K14" i="73"/>
  <c r="I15" i="73"/>
  <c r="I42" i="72"/>
  <c r="K41" i="72"/>
  <c r="K14" i="72"/>
  <c r="I15" i="72"/>
  <c r="K13" i="71"/>
  <c r="I42" i="71"/>
  <c r="I14" i="71"/>
  <c r="I15" i="70"/>
  <c r="K14" i="70"/>
  <c r="I42" i="70"/>
  <c r="K41" i="70"/>
  <c r="I42" i="69"/>
  <c r="K41" i="69"/>
  <c r="I15" i="69"/>
  <c r="K14" i="69"/>
  <c r="I42" i="68"/>
  <c r="K41" i="68"/>
  <c r="K14" i="68"/>
  <c r="I15" i="68"/>
  <c r="I42" i="67"/>
  <c r="K41" i="67"/>
  <c r="I15" i="67"/>
  <c r="K14" i="67"/>
  <c r="K13" i="66"/>
  <c r="I14" i="66"/>
  <c r="K14" i="66" s="1"/>
  <c r="I15" i="66"/>
  <c r="I42" i="65"/>
  <c r="K41" i="65"/>
  <c r="I15" i="65"/>
  <c r="K14" i="65"/>
  <c r="I16" i="64"/>
  <c r="K15" i="64"/>
  <c r="K42" i="64"/>
  <c r="I43" i="64"/>
  <c r="K41" i="63"/>
  <c r="I42" i="63"/>
  <c r="I15" i="63"/>
  <c r="K14" i="63"/>
  <c r="K14" i="62"/>
  <c r="I15" i="62"/>
  <c r="I42" i="62"/>
  <c r="K41" i="62"/>
  <c r="I42" i="61"/>
  <c r="K41" i="61"/>
  <c r="K14" i="61"/>
  <c r="I15" i="61"/>
  <c r="I16" i="78" l="1"/>
  <c r="K15" i="78"/>
  <c r="K42" i="78"/>
  <c r="I43" i="78"/>
  <c r="K42" i="77"/>
  <c r="I43" i="77"/>
  <c r="I16" i="77"/>
  <c r="K15" i="77"/>
  <c r="K42" i="76"/>
  <c r="I43" i="76"/>
  <c r="I16" i="76"/>
  <c r="K15" i="76"/>
  <c r="I16" i="75"/>
  <c r="K15" i="75"/>
  <c r="K42" i="75"/>
  <c r="I43" i="75"/>
  <c r="K42" i="74"/>
  <c r="I43" i="74"/>
  <c r="I16" i="74"/>
  <c r="K15" i="74"/>
  <c r="I16" i="73"/>
  <c r="K15" i="73"/>
  <c r="K42" i="73"/>
  <c r="I43" i="73"/>
  <c r="I16" i="72"/>
  <c r="K15" i="72"/>
  <c r="K42" i="72"/>
  <c r="I43" i="72"/>
  <c r="I15" i="71"/>
  <c r="K14" i="71"/>
  <c r="I43" i="71"/>
  <c r="I44" i="71" s="1"/>
  <c r="I45" i="71" s="1"/>
  <c r="I46" i="71" s="1"/>
  <c r="I47" i="71" s="1"/>
  <c r="I48" i="71" s="1"/>
  <c r="I49" i="71" s="1"/>
  <c r="I50" i="71" s="1"/>
  <c r="I51" i="71" s="1"/>
  <c r="I52" i="71" s="1"/>
  <c r="I53" i="71" s="1"/>
  <c r="I54" i="71" s="1"/>
  <c r="I55" i="71" s="1"/>
  <c r="I56" i="71" s="1"/>
  <c r="I57" i="71" s="1"/>
  <c r="I58" i="71" s="1"/>
  <c r="I59" i="71" s="1"/>
  <c r="I60" i="71" s="1"/>
  <c r="I61" i="71" s="1"/>
  <c r="I62" i="71" s="1"/>
  <c r="I63" i="71" s="1"/>
  <c r="I64" i="71" s="1"/>
  <c r="I65" i="71" s="1"/>
  <c r="I66" i="71" s="1"/>
  <c r="I67" i="71" s="1"/>
  <c r="I68" i="71" s="1"/>
  <c r="I69" i="71" s="1"/>
  <c r="I70" i="71" s="1"/>
  <c r="I71" i="71" s="1"/>
  <c r="I72" i="71" s="1"/>
  <c r="I73" i="71" s="1"/>
  <c r="I74" i="71" s="1"/>
  <c r="I75" i="71" s="1"/>
  <c r="I76" i="71" s="1"/>
  <c r="I77" i="71" s="1"/>
  <c r="K42" i="71"/>
  <c r="I43" i="70"/>
  <c r="K42" i="70"/>
  <c r="I16" i="70"/>
  <c r="K15" i="70"/>
  <c r="I16" i="69"/>
  <c r="K15" i="69"/>
  <c r="K42" i="69"/>
  <c r="I43" i="69"/>
  <c r="I16" i="68"/>
  <c r="K15" i="68"/>
  <c r="K42" i="68"/>
  <c r="I43" i="68"/>
  <c r="I16" i="67"/>
  <c r="K15" i="67"/>
  <c r="K42" i="67"/>
  <c r="I43" i="67"/>
  <c r="I16" i="66"/>
  <c r="I24" i="66"/>
  <c r="K15" i="66"/>
  <c r="I16" i="65"/>
  <c r="K15" i="65"/>
  <c r="K42" i="65"/>
  <c r="I43" i="65"/>
  <c r="I44" i="64"/>
  <c r="K43" i="64"/>
  <c r="K16" i="64"/>
  <c r="I17" i="64"/>
  <c r="I16" i="63"/>
  <c r="K15" i="63"/>
  <c r="I43" i="63"/>
  <c r="K42" i="63"/>
  <c r="K42" i="62"/>
  <c r="I43" i="62"/>
  <c r="I16" i="62"/>
  <c r="K15" i="62"/>
  <c r="I16" i="61"/>
  <c r="K15" i="61"/>
  <c r="K42" i="61"/>
  <c r="I43" i="61"/>
  <c r="I44" i="78" l="1"/>
  <c r="K43" i="78"/>
  <c r="I17" i="78"/>
  <c r="K16" i="78"/>
  <c r="K16" i="77"/>
  <c r="I17" i="77"/>
  <c r="I44" i="77"/>
  <c r="K43" i="77"/>
  <c r="I44" i="76"/>
  <c r="K43" i="76"/>
  <c r="I17" i="76"/>
  <c r="K16" i="76"/>
  <c r="K43" i="75"/>
  <c r="I44" i="75"/>
  <c r="I17" i="75"/>
  <c r="K16" i="75"/>
  <c r="K16" i="74"/>
  <c r="I17" i="74"/>
  <c r="I44" i="74"/>
  <c r="K43" i="74"/>
  <c r="K43" i="73"/>
  <c r="I44" i="73"/>
  <c r="K16" i="73"/>
  <c r="I17" i="73"/>
  <c r="K43" i="72"/>
  <c r="I44" i="72"/>
  <c r="I17" i="72"/>
  <c r="K16" i="72"/>
  <c r="K43" i="71"/>
  <c r="K15" i="71"/>
  <c r="I16" i="71"/>
  <c r="K16" i="70"/>
  <c r="I17" i="70"/>
  <c r="I44" i="70"/>
  <c r="K43" i="70"/>
  <c r="K43" i="69"/>
  <c r="I44" i="69"/>
  <c r="K16" i="69"/>
  <c r="I17" i="69"/>
  <c r="I44" i="68"/>
  <c r="K43" i="68"/>
  <c r="I17" i="68"/>
  <c r="K16" i="68"/>
  <c r="K43" i="67"/>
  <c r="I44" i="67"/>
  <c r="K16" i="67"/>
  <c r="I17" i="67"/>
  <c r="I28" i="66"/>
  <c r="K24" i="66"/>
  <c r="K16" i="66"/>
  <c r="I17" i="66"/>
  <c r="K43" i="65"/>
  <c r="I44" i="65"/>
  <c r="I17" i="65"/>
  <c r="K16" i="65"/>
  <c r="I18" i="64"/>
  <c r="K17" i="64"/>
  <c r="I45" i="64"/>
  <c r="K44" i="64"/>
  <c r="K43" i="63"/>
  <c r="I44" i="63"/>
  <c r="K16" i="63"/>
  <c r="I17" i="63"/>
  <c r="K16" i="62"/>
  <c r="I17" i="62"/>
  <c r="K43" i="62"/>
  <c r="I44" i="62"/>
  <c r="K43" i="61"/>
  <c r="I44" i="61"/>
  <c r="K16" i="61"/>
  <c r="I17" i="61"/>
  <c r="I18" i="78" l="1"/>
  <c r="K17" i="78"/>
  <c r="I45" i="78"/>
  <c r="K44" i="78"/>
  <c r="I45" i="77"/>
  <c r="K44" i="77"/>
  <c r="I18" i="77"/>
  <c r="K17" i="77"/>
  <c r="I18" i="76"/>
  <c r="K17" i="76"/>
  <c r="K44" i="76"/>
  <c r="I45" i="76"/>
  <c r="I18" i="75"/>
  <c r="K17" i="75"/>
  <c r="K44" i="75"/>
  <c r="I45" i="75"/>
  <c r="I45" i="74"/>
  <c r="K44" i="74"/>
  <c r="I18" i="74"/>
  <c r="K17" i="74"/>
  <c r="I18" i="73"/>
  <c r="K17" i="73"/>
  <c r="I45" i="73"/>
  <c r="K44" i="73"/>
  <c r="I18" i="72"/>
  <c r="K17" i="72"/>
  <c r="I45" i="72"/>
  <c r="K44" i="72"/>
  <c r="K44" i="71"/>
  <c r="I17" i="71"/>
  <c r="K16" i="71"/>
  <c r="I45" i="70"/>
  <c r="K44" i="70"/>
  <c r="I18" i="70"/>
  <c r="K17" i="70"/>
  <c r="I45" i="69"/>
  <c r="K44" i="69"/>
  <c r="K17" i="69"/>
  <c r="I18" i="69"/>
  <c r="K17" i="68"/>
  <c r="I18" i="68"/>
  <c r="I45" i="68"/>
  <c r="K44" i="68"/>
  <c r="I18" i="67"/>
  <c r="K17" i="67"/>
  <c r="I45" i="67"/>
  <c r="K44" i="67"/>
  <c r="I18" i="66"/>
  <c r="K17" i="66"/>
  <c r="I29" i="66"/>
  <c r="K28" i="66"/>
  <c r="K17" i="65"/>
  <c r="I18" i="65"/>
  <c r="K44" i="65"/>
  <c r="I45" i="65"/>
  <c r="I46" i="64"/>
  <c r="K45" i="64"/>
  <c r="I19" i="64"/>
  <c r="K18" i="64"/>
  <c r="K17" i="63"/>
  <c r="I18" i="63"/>
  <c r="I45" i="63"/>
  <c r="K44" i="63"/>
  <c r="I45" i="62"/>
  <c r="K44" i="62"/>
  <c r="I18" i="62"/>
  <c r="K17" i="62"/>
  <c r="I18" i="61"/>
  <c r="K17" i="61"/>
  <c r="I45" i="61"/>
  <c r="K44" i="61"/>
  <c r="I46" i="78" l="1"/>
  <c r="K45" i="78"/>
  <c r="I19" i="78"/>
  <c r="K18" i="78"/>
  <c r="K18" i="77"/>
  <c r="I19" i="77"/>
  <c r="I46" i="77"/>
  <c r="K45" i="77"/>
  <c r="I46" i="76"/>
  <c r="I47" i="76" s="1"/>
  <c r="I48" i="76" s="1"/>
  <c r="I49" i="76" s="1"/>
  <c r="I50" i="76" s="1"/>
  <c r="I51" i="76" s="1"/>
  <c r="I52" i="76" s="1"/>
  <c r="I53" i="76" s="1"/>
  <c r="I54" i="76" s="1"/>
  <c r="I55" i="76" s="1"/>
  <c r="I56" i="76" s="1"/>
  <c r="I57" i="76" s="1"/>
  <c r="I58" i="76" s="1"/>
  <c r="I59" i="76" s="1"/>
  <c r="I60" i="76" s="1"/>
  <c r="I61" i="76" s="1"/>
  <c r="I62" i="76" s="1"/>
  <c r="I63" i="76" s="1"/>
  <c r="I64" i="76" s="1"/>
  <c r="I65" i="76" s="1"/>
  <c r="I66" i="76" s="1"/>
  <c r="I67" i="76" s="1"/>
  <c r="I68" i="76" s="1"/>
  <c r="I69" i="76" s="1"/>
  <c r="I70" i="76" s="1"/>
  <c r="I71" i="76" s="1"/>
  <c r="I72" i="76" s="1"/>
  <c r="I73" i="76" s="1"/>
  <c r="I74" i="76" s="1"/>
  <c r="I75" i="76" s="1"/>
  <c r="K45" i="76"/>
  <c r="K18" i="76"/>
  <c r="I19" i="76"/>
  <c r="I46" i="75"/>
  <c r="K45" i="75"/>
  <c r="I19" i="75"/>
  <c r="K18" i="75"/>
  <c r="I19" i="74"/>
  <c r="K18" i="74"/>
  <c r="I46" i="74"/>
  <c r="K45" i="74"/>
  <c r="I46" i="73"/>
  <c r="K45" i="73"/>
  <c r="I19" i="73"/>
  <c r="K18" i="73"/>
  <c r="I46" i="72"/>
  <c r="K45" i="72"/>
  <c r="I19" i="72"/>
  <c r="K18" i="72"/>
  <c r="I18" i="71"/>
  <c r="K17" i="71"/>
  <c r="K45" i="71"/>
  <c r="K18" i="70"/>
  <c r="I19" i="70"/>
  <c r="K45" i="70"/>
  <c r="I46" i="70"/>
  <c r="K18" i="69"/>
  <c r="I19" i="69"/>
  <c r="K45" i="69"/>
  <c r="I46" i="69"/>
  <c r="I46" i="68"/>
  <c r="K45" i="68"/>
  <c r="I19" i="68"/>
  <c r="K18" i="68"/>
  <c r="I46" i="67"/>
  <c r="K45" i="67"/>
  <c r="I19" i="67"/>
  <c r="K18" i="67"/>
  <c r="I30" i="66"/>
  <c r="K29" i="66"/>
  <c r="I19" i="66"/>
  <c r="K18" i="66"/>
  <c r="I46" i="65"/>
  <c r="K45" i="65"/>
  <c r="I19" i="65"/>
  <c r="K18" i="65"/>
  <c r="K19" i="64"/>
  <c r="I20" i="64"/>
  <c r="I36" i="64"/>
  <c r="I47" i="64"/>
  <c r="K46" i="64"/>
  <c r="I46" i="63"/>
  <c r="K45" i="63"/>
  <c r="K18" i="63"/>
  <c r="I19" i="63"/>
  <c r="K18" i="62"/>
  <c r="I19" i="62"/>
  <c r="I46" i="62"/>
  <c r="K45" i="62"/>
  <c r="I46" i="61"/>
  <c r="K45" i="61"/>
  <c r="I19" i="61"/>
  <c r="K18" i="61"/>
  <c r="I20" i="78" l="1"/>
  <c r="K19" i="78"/>
  <c r="I36" i="78"/>
  <c r="K46" i="78"/>
  <c r="I47" i="78"/>
  <c r="I47" i="77"/>
  <c r="K46" i="77"/>
  <c r="I20" i="77"/>
  <c r="K19" i="77"/>
  <c r="I36" i="77"/>
  <c r="I20" i="76"/>
  <c r="K19" i="76"/>
  <c r="I36" i="76"/>
  <c r="K46" i="76"/>
  <c r="I20" i="75"/>
  <c r="K19" i="75"/>
  <c r="I36" i="75"/>
  <c r="K46" i="75"/>
  <c r="I47" i="75"/>
  <c r="K46" i="74"/>
  <c r="I47" i="74"/>
  <c r="I20" i="74"/>
  <c r="K19" i="74"/>
  <c r="I36" i="74"/>
  <c r="K19" i="73"/>
  <c r="I20" i="73"/>
  <c r="I36" i="73"/>
  <c r="I47" i="73"/>
  <c r="K46" i="73"/>
  <c r="K19" i="72"/>
  <c r="I20" i="72"/>
  <c r="I36" i="72"/>
  <c r="K46" i="72"/>
  <c r="I47" i="72"/>
  <c r="K46" i="71"/>
  <c r="I19" i="71"/>
  <c r="K18" i="71"/>
  <c r="I36" i="70"/>
  <c r="K19" i="70"/>
  <c r="I20" i="70"/>
  <c r="I47" i="70"/>
  <c r="K46" i="70"/>
  <c r="K19" i="69"/>
  <c r="I20" i="69"/>
  <c r="I36" i="69"/>
  <c r="I47" i="69"/>
  <c r="K46" i="69"/>
  <c r="I20" i="68"/>
  <c r="K19" i="68"/>
  <c r="I36" i="68"/>
  <c r="I47" i="68"/>
  <c r="K46" i="68"/>
  <c r="I20" i="67"/>
  <c r="K19" i="67"/>
  <c r="I36" i="67"/>
  <c r="K46" i="67"/>
  <c r="I47" i="67"/>
  <c r="K19" i="66"/>
  <c r="I20" i="66"/>
  <c r="I31" i="66"/>
  <c r="K30" i="66"/>
  <c r="K19" i="65"/>
  <c r="I20" i="65"/>
  <c r="I36" i="65"/>
  <c r="K46" i="65"/>
  <c r="I47" i="65"/>
  <c r="I37" i="64"/>
  <c r="K37" i="64" s="1"/>
  <c r="K36" i="64"/>
  <c r="K47" i="64"/>
  <c r="I48" i="64"/>
  <c r="K20" i="64"/>
  <c r="I21" i="64"/>
  <c r="K19" i="63"/>
  <c r="I36" i="63"/>
  <c r="I20" i="63"/>
  <c r="K46" i="63"/>
  <c r="I47" i="63"/>
  <c r="I47" i="62"/>
  <c r="K46" i="62"/>
  <c r="K19" i="62"/>
  <c r="I20" i="62"/>
  <c r="I36" i="62"/>
  <c r="I36" i="61"/>
  <c r="I20" i="61"/>
  <c r="K19" i="61"/>
  <c r="I47" i="61"/>
  <c r="K46" i="61"/>
  <c r="K47" i="78" l="1"/>
  <c r="I48" i="78"/>
  <c r="I37" i="78"/>
  <c r="K37" i="78" s="1"/>
  <c r="K36" i="78"/>
  <c r="I21" i="78"/>
  <c r="K20" i="78"/>
  <c r="I37" i="77"/>
  <c r="K37" i="77" s="1"/>
  <c r="K36" i="77"/>
  <c r="K20" i="77"/>
  <c r="I21" i="77"/>
  <c r="K47" i="77"/>
  <c r="I48" i="77"/>
  <c r="K36" i="76"/>
  <c r="I37" i="76"/>
  <c r="K37" i="76" s="1"/>
  <c r="K20" i="76"/>
  <c r="I21" i="76"/>
  <c r="I48" i="75"/>
  <c r="K47" i="75"/>
  <c r="I37" i="75"/>
  <c r="K37" i="75" s="1"/>
  <c r="K36" i="75"/>
  <c r="I21" i="75"/>
  <c r="K20" i="75"/>
  <c r="K47" i="74"/>
  <c r="I48" i="74"/>
  <c r="I37" i="74"/>
  <c r="K37" i="74" s="1"/>
  <c r="K36" i="74"/>
  <c r="K20" i="74"/>
  <c r="I21" i="74"/>
  <c r="K47" i="73"/>
  <c r="I48" i="73"/>
  <c r="I37" i="73"/>
  <c r="K37" i="73" s="1"/>
  <c r="K36" i="73"/>
  <c r="K20" i="73"/>
  <c r="I21" i="73"/>
  <c r="K20" i="72"/>
  <c r="I21" i="72"/>
  <c r="I48" i="72"/>
  <c r="K47" i="72"/>
  <c r="I37" i="72"/>
  <c r="K37" i="72" s="1"/>
  <c r="K36" i="72"/>
  <c r="I20" i="71"/>
  <c r="I21" i="71" s="1"/>
  <c r="K19" i="71"/>
  <c r="I37" i="71"/>
  <c r="K47" i="71"/>
  <c r="I48" i="70"/>
  <c r="K47" i="70"/>
  <c r="I21" i="70"/>
  <c r="K20" i="70"/>
  <c r="K36" i="70"/>
  <c r="I37" i="70"/>
  <c r="K37" i="70" s="1"/>
  <c r="I21" i="69"/>
  <c r="K20" i="69"/>
  <c r="K47" i="69"/>
  <c r="I48" i="69"/>
  <c r="K36" i="69"/>
  <c r="I37" i="69"/>
  <c r="K37" i="69" s="1"/>
  <c r="I48" i="68"/>
  <c r="K47" i="68"/>
  <c r="I37" i="68"/>
  <c r="K37" i="68" s="1"/>
  <c r="K36" i="68"/>
  <c r="K20" i="68"/>
  <c r="I21" i="68"/>
  <c r="K47" i="67"/>
  <c r="I48" i="67"/>
  <c r="I37" i="67"/>
  <c r="K37" i="67" s="1"/>
  <c r="K36" i="67"/>
  <c r="K20" i="67"/>
  <c r="I21" i="67"/>
  <c r="I32" i="66"/>
  <c r="K31" i="66"/>
  <c r="K20" i="66"/>
  <c r="I21" i="66"/>
  <c r="I37" i="65"/>
  <c r="K37" i="65" s="1"/>
  <c r="K36" i="65"/>
  <c r="K20" i="65"/>
  <c r="I21" i="65"/>
  <c r="K47" i="65"/>
  <c r="I48" i="65"/>
  <c r="K21" i="64"/>
  <c r="I22" i="64"/>
  <c r="I49" i="64"/>
  <c r="K48" i="64"/>
  <c r="K20" i="63"/>
  <c r="I21" i="63"/>
  <c r="K36" i="63"/>
  <c r="I37" i="63"/>
  <c r="K37" i="63" s="1"/>
  <c r="I48" i="63"/>
  <c r="K47" i="63"/>
  <c r="I37" i="62"/>
  <c r="K37" i="62" s="1"/>
  <c r="K36" i="62"/>
  <c r="K20" i="62"/>
  <c r="I21" i="62"/>
  <c r="K47" i="62"/>
  <c r="I48" i="62"/>
  <c r="I48" i="61"/>
  <c r="K47" i="61"/>
  <c r="K20" i="61"/>
  <c r="I21" i="61"/>
  <c r="K36" i="61"/>
  <c r="I37" i="61"/>
  <c r="K37" i="61" s="1"/>
  <c r="K21" i="78" l="1"/>
  <c r="I22" i="78"/>
  <c r="I49" i="78"/>
  <c r="K48" i="78"/>
  <c r="I49" i="77"/>
  <c r="K48" i="77"/>
  <c r="I22" i="77"/>
  <c r="K21" i="77"/>
  <c r="I22" i="76"/>
  <c r="K21" i="76"/>
  <c r="K47" i="76"/>
  <c r="I22" i="75"/>
  <c r="K21" i="75"/>
  <c r="I49" i="75"/>
  <c r="K48" i="75"/>
  <c r="I22" i="74"/>
  <c r="K21" i="74"/>
  <c r="I49" i="74"/>
  <c r="K48" i="74"/>
  <c r="I49" i="73"/>
  <c r="K48" i="73"/>
  <c r="I22" i="73"/>
  <c r="K21" i="73"/>
  <c r="I49" i="72"/>
  <c r="K48" i="72"/>
  <c r="K21" i="72"/>
  <c r="I22" i="72"/>
  <c r="K48" i="71"/>
  <c r="I38" i="71"/>
  <c r="K38" i="71" s="1"/>
  <c r="K37" i="71"/>
  <c r="K20" i="71"/>
  <c r="I22" i="71"/>
  <c r="I22" i="70"/>
  <c r="K21" i="70"/>
  <c r="I49" i="70"/>
  <c r="K48" i="70"/>
  <c r="I49" i="69"/>
  <c r="K48" i="69"/>
  <c r="K21" i="69"/>
  <c r="I22" i="69"/>
  <c r="I22" i="68"/>
  <c r="K21" i="68"/>
  <c r="I49" i="68"/>
  <c r="K48" i="68"/>
  <c r="I49" i="67"/>
  <c r="K48" i="67"/>
  <c r="K21" i="67"/>
  <c r="I22" i="67"/>
  <c r="K21" i="66"/>
  <c r="I22" i="66"/>
  <c r="I33" i="66"/>
  <c r="K32" i="66"/>
  <c r="I49" i="65"/>
  <c r="K48" i="65"/>
  <c r="I22" i="65"/>
  <c r="K21" i="65"/>
  <c r="K49" i="64"/>
  <c r="I50" i="64"/>
  <c r="I23" i="64"/>
  <c r="K22" i="64"/>
  <c r="I49" i="63"/>
  <c r="K48" i="63"/>
  <c r="I22" i="63"/>
  <c r="K21" i="63"/>
  <c r="I49" i="62"/>
  <c r="K48" i="62"/>
  <c r="K21" i="62"/>
  <c r="I22" i="62"/>
  <c r="I22" i="61"/>
  <c r="K21" i="61"/>
  <c r="I49" i="61"/>
  <c r="K48" i="61"/>
  <c r="I23" i="78" l="1"/>
  <c r="K22" i="78"/>
  <c r="K49" i="78"/>
  <c r="I50" i="78"/>
  <c r="I23" i="77"/>
  <c r="K22" i="77"/>
  <c r="K49" i="77"/>
  <c r="I50" i="77"/>
  <c r="K48" i="76"/>
  <c r="I23" i="76"/>
  <c r="K22" i="76"/>
  <c r="K49" i="75"/>
  <c r="I50" i="75"/>
  <c r="I23" i="75"/>
  <c r="K22" i="75"/>
  <c r="K49" i="74"/>
  <c r="I50" i="74"/>
  <c r="I23" i="74"/>
  <c r="K22" i="74"/>
  <c r="I23" i="73"/>
  <c r="K22" i="73"/>
  <c r="K49" i="73"/>
  <c r="I50" i="73"/>
  <c r="I23" i="72"/>
  <c r="K22" i="72"/>
  <c r="K49" i="72"/>
  <c r="I50" i="72"/>
  <c r="K22" i="71"/>
  <c r="I23" i="71"/>
  <c r="K49" i="71"/>
  <c r="I50" i="70"/>
  <c r="K49" i="70"/>
  <c r="K22" i="70"/>
  <c r="I23" i="70"/>
  <c r="I23" i="69"/>
  <c r="K22" i="69"/>
  <c r="K49" i="69"/>
  <c r="I50" i="69"/>
  <c r="K49" i="68"/>
  <c r="I50" i="68"/>
  <c r="I23" i="68"/>
  <c r="K22" i="68"/>
  <c r="I23" i="67"/>
  <c r="K22" i="67"/>
  <c r="K49" i="67"/>
  <c r="I50" i="67"/>
  <c r="K22" i="66"/>
  <c r="I23" i="66"/>
  <c r="K23" i="66" s="1"/>
  <c r="I34" i="66"/>
  <c r="K33" i="66"/>
  <c r="I23" i="65"/>
  <c r="K22" i="65"/>
  <c r="K49" i="65"/>
  <c r="I50" i="65"/>
  <c r="K23" i="64"/>
  <c r="I24" i="64"/>
  <c r="I51" i="64"/>
  <c r="K50" i="64"/>
  <c r="K22" i="63"/>
  <c r="I23" i="63"/>
  <c r="K49" i="63"/>
  <c r="I50" i="63"/>
  <c r="I23" i="62"/>
  <c r="K22" i="62"/>
  <c r="K49" i="62"/>
  <c r="I50" i="62"/>
  <c r="K49" i="61"/>
  <c r="I50" i="61"/>
  <c r="K22" i="61"/>
  <c r="I23" i="61"/>
  <c r="K50" i="78" l="1"/>
  <c r="I51" i="78"/>
  <c r="I24" i="78"/>
  <c r="K23" i="78"/>
  <c r="I51" i="77"/>
  <c r="K50" i="77"/>
  <c r="K23" i="77"/>
  <c r="I24" i="77"/>
  <c r="I24" i="76"/>
  <c r="K23" i="76"/>
  <c r="K49" i="76"/>
  <c r="I51" i="75"/>
  <c r="K50" i="75"/>
  <c r="I24" i="75"/>
  <c r="K23" i="75"/>
  <c r="I51" i="74"/>
  <c r="K50" i="74"/>
  <c r="K23" i="74"/>
  <c r="I24" i="74"/>
  <c r="K50" i="73"/>
  <c r="I51" i="73"/>
  <c r="I24" i="73"/>
  <c r="K23" i="73"/>
  <c r="I51" i="72"/>
  <c r="K50" i="72"/>
  <c r="K23" i="72"/>
  <c r="I24" i="72"/>
  <c r="K50" i="71"/>
  <c r="I24" i="71"/>
  <c r="K23" i="71"/>
  <c r="K23" i="70"/>
  <c r="I24" i="70"/>
  <c r="I51" i="70"/>
  <c r="K50" i="70"/>
  <c r="I51" i="69"/>
  <c r="K50" i="69"/>
  <c r="I24" i="69"/>
  <c r="K23" i="69"/>
  <c r="K23" i="68"/>
  <c r="I24" i="68"/>
  <c r="I51" i="68"/>
  <c r="K50" i="68"/>
  <c r="I51" i="67"/>
  <c r="K50" i="67"/>
  <c r="I24" i="67"/>
  <c r="K23" i="67"/>
  <c r="I35" i="66"/>
  <c r="K34" i="66"/>
  <c r="I51" i="65"/>
  <c r="K50" i="65"/>
  <c r="I24" i="65"/>
  <c r="K23" i="65"/>
  <c r="I52" i="64"/>
  <c r="K51" i="64"/>
  <c r="I25" i="64"/>
  <c r="K24" i="64"/>
  <c r="K23" i="63"/>
  <c r="I24" i="63"/>
  <c r="K50" i="63"/>
  <c r="I51" i="63"/>
  <c r="I51" i="62"/>
  <c r="K50" i="62"/>
  <c r="I24" i="62"/>
  <c r="K23" i="62"/>
  <c r="I24" i="61"/>
  <c r="K23" i="61"/>
  <c r="I51" i="61"/>
  <c r="K50" i="61"/>
  <c r="I25" i="78" l="1"/>
  <c r="K24" i="78"/>
  <c r="I52" i="78"/>
  <c r="K51" i="78"/>
  <c r="I25" i="77"/>
  <c r="K24" i="77"/>
  <c r="I52" i="77"/>
  <c r="K51" i="77"/>
  <c r="K50" i="76"/>
  <c r="I25" i="76"/>
  <c r="K24" i="76"/>
  <c r="I25" i="75"/>
  <c r="K24" i="75"/>
  <c r="K51" i="75"/>
  <c r="I52" i="75"/>
  <c r="I25" i="74"/>
  <c r="K24" i="74"/>
  <c r="I52" i="74"/>
  <c r="K51" i="74"/>
  <c r="I52" i="73"/>
  <c r="K51" i="73"/>
  <c r="I25" i="73"/>
  <c r="K24" i="73"/>
  <c r="I25" i="72"/>
  <c r="K24" i="72"/>
  <c r="I52" i="72"/>
  <c r="K51" i="72"/>
  <c r="K51" i="71"/>
  <c r="I25" i="71"/>
  <c r="K24" i="71"/>
  <c r="I52" i="70"/>
  <c r="K51" i="70"/>
  <c r="I25" i="70"/>
  <c r="K24" i="70"/>
  <c r="K24" i="69"/>
  <c r="I25" i="69"/>
  <c r="K51" i="69"/>
  <c r="I52" i="69"/>
  <c r="I25" i="68"/>
  <c r="K24" i="68"/>
  <c r="I52" i="68"/>
  <c r="K51" i="68"/>
  <c r="I25" i="67"/>
  <c r="K24" i="67"/>
  <c r="I52" i="67"/>
  <c r="K51" i="67"/>
  <c r="I36" i="66"/>
  <c r="K35" i="66"/>
  <c r="I25" i="65"/>
  <c r="K24" i="65"/>
  <c r="K51" i="65"/>
  <c r="I52" i="65"/>
  <c r="K25" i="64"/>
  <c r="I26" i="64"/>
  <c r="I53" i="64"/>
  <c r="K52" i="64"/>
  <c r="I25" i="63"/>
  <c r="K24" i="63"/>
  <c r="I52" i="63"/>
  <c r="K51" i="63"/>
  <c r="I25" i="62"/>
  <c r="K24" i="62"/>
  <c r="I52" i="62"/>
  <c r="K51" i="62"/>
  <c r="I52" i="61"/>
  <c r="K51" i="61"/>
  <c r="I25" i="61"/>
  <c r="K24" i="61"/>
  <c r="I53" i="78" l="1"/>
  <c r="K52" i="78"/>
  <c r="K25" i="78"/>
  <c r="I26" i="78"/>
  <c r="I53" i="77"/>
  <c r="K52" i="77"/>
  <c r="K25" i="77"/>
  <c r="I26" i="77"/>
  <c r="K25" i="76"/>
  <c r="I26" i="76"/>
  <c r="K51" i="76"/>
  <c r="I53" i="75"/>
  <c r="K52" i="75"/>
  <c r="K25" i="75"/>
  <c r="I26" i="75"/>
  <c r="I53" i="74"/>
  <c r="K52" i="74"/>
  <c r="K25" i="74"/>
  <c r="I26" i="74"/>
  <c r="K25" i="73"/>
  <c r="I26" i="73"/>
  <c r="I53" i="73"/>
  <c r="K52" i="73"/>
  <c r="I53" i="72"/>
  <c r="K52" i="72"/>
  <c r="K25" i="72"/>
  <c r="I26" i="72"/>
  <c r="I26" i="71"/>
  <c r="K25" i="71"/>
  <c r="K52" i="71"/>
  <c r="I26" i="70"/>
  <c r="K25" i="70"/>
  <c r="K52" i="70"/>
  <c r="I53" i="70"/>
  <c r="K25" i="69"/>
  <c r="I26" i="69"/>
  <c r="K52" i="69"/>
  <c r="I53" i="69"/>
  <c r="I53" i="68"/>
  <c r="K52" i="68"/>
  <c r="K25" i="68"/>
  <c r="I26" i="68"/>
  <c r="I53" i="67"/>
  <c r="K52" i="67"/>
  <c r="K25" i="67"/>
  <c r="I26" i="67"/>
  <c r="K36" i="66"/>
  <c r="I37" i="66"/>
  <c r="I53" i="65"/>
  <c r="K52" i="65"/>
  <c r="K25" i="65"/>
  <c r="I26" i="65"/>
  <c r="I54" i="64"/>
  <c r="K53" i="64"/>
  <c r="I27" i="64"/>
  <c r="K26" i="64"/>
  <c r="I53" i="63"/>
  <c r="K52" i="63"/>
  <c r="K25" i="63"/>
  <c r="I26" i="63"/>
  <c r="I53" i="62"/>
  <c r="K52" i="62"/>
  <c r="K25" i="62"/>
  <c r="I26" i="62"/>
  <c r="K25" i="61"/>
  <c r="I26" i="61"/>
  <c r="I53" i="61"/>
  <c r="K52" i="61"/>
  <c r="K26" i="78" l="1"/>
  <c r="I27" i="78"/>
  <c r="I54" i="78"/>
  <c r="K53" i="78"/>
  <c r="I27" i="77"/>
  <c r="K26" i="77"/>
  <c r="I54" i="77"/>
  <c r="K53" i="77"/>
  <c r="I27" i="76"/>
  <c r="K26" i="76"/>
  <c r="K52" i="76"/>
  <c r="K26" i="75"/>
  <c r="I27" i="75"/>
  <c r="K53" i="75"/>
  <c r="I54" i="75"/>
  <c r="I27" i="74"/>
  <c r="K26" i="74"/>
  <c r="I54" i="74"/>
  <c r="K53" i="74"/>
  <c r="K53" i="73"/>
  <c r="I54" i="73"/>
  <c r="I27" i="73"/>
  <c r="K26" i="73"/>
  <c r="I27" i="72"/>
  <c r="K26" i="72"/>
  <c r="I54" i="72"/>
  <c r="K53" i="72"/>
  <c r="K53" i="71"/>
  <c r="K26" i="71"/>
  <c r="I27" i="71"/>
  <c r="I54" i="70"/>
  <c r="K53" i="70"/>
  <c r="I27" i="70"/>
  <c r="K26" i="70"/>
  <c r="I27" i="69"/>
  <c r="K26" i="69"/>
  <c r="I54" i="69"/>
  <c r="K53" i="69"/>
  <c r="I27" i="68"/>
  <c r="K26" i="68"/>
  <c r="I54" i="68"/>
  <c r="K53" i="68"/>
  <c r="I27" i="67"/>
  <c r="K26" i="67"/>
  <c r="K53" i="67"/>
  <c r="I54" i="67"/>
  <c r="K37" i="66"/>
  <c r="I38" i="66"/>
  <c r="I27" i="65"/>
  <c r="K26" i="65"/>
  <c r="I54" i="65"/>
  <c r="K53" i="65"/>
  <c r="I28" i="64"/>
  <c r="K27" i="64"/>
  <c r="K54" i="64"/>
  <c r="I55" i="64"/>
  <c r="I27" i="63"/>
  <c r="K26" i="63"/>
  <c r="K53" i="63"/>
  <c r="I54" i="63"/>
  <c r="I27" i="62"/>
  <c r="K26" i="62"/>
  <c r="I54" i="62"/>
  <c r="K53" i="62"/>
  <c r="I54" i="61"/>
  <c r="K53" i="61"/>
  <c r="I27" i="61"/>
  <c r="K26" i="61"/>
  <c r="K54" i="78" l="1"/>
  <c r="I55" i="78"/>
  <c r="I28" i="78"/>
  <c r="K27" i="78"/>
  <c r="K54" i="77"/>
  <c r="I55" i="77"/>
  <c r="I28" i="77"/>
  <c r="K27" i="77"/>
  <c r="K53" i="76"/>
  <c r="K27" i="76"/>
  <c r="I28" i="76"/>
  <c r="I28" i="75"/>
  <c r="K27" i="75"/>
  <c r="I55" i="75"/>
  <c r="K54" i="75"/>
  <c r="K54" i="74"/>
  <c r="I55" i="74"/>
  <c r="I28" i="74"/>
  <c r="K27" i="74"/>
  <c r="I28" i="73"/>
  <c r="K27" i="73"/>
  <c r="K54" i="73"/>
  <c r="I55" i="73"/>
  <c r="K54" i="72"/>
  <c r="I55" i="72"/>
  <c r="I28" i="72"/>
  <c r="K27" i="72"/>
  <c r="K27" i="71"/>
  <c r="I28" i="71"/>
  <c r="K54" i="71"/>
  <c r="K27" i="70"/>
  <c r="I28" i="70"/>
  <c r="K54" i="70"/>
  <c r="I55" i="70"/>
  <c r="K54" i="69"/>
  <c r="I55" i="69"/>
  <c r="I28" i="69"/>
  <c r="K27" i="69"/>
  <c r="I55" i="68"/>
  <c r="K54" i="68"/>
  <c r="I28" i="68"/>
  <c r="K27" i="68"/>
  <c r="K54" i="67"/>
  <c r="I55" i="67"/>
  <c r="I28" i="67"/>
  <c r="K27" i="67"/>
  <c r="K38" i="66"/>
  <c r="I39" i="66"/>
  <c r="I55" i="65"/>
  <c r="K54" i="65"/>
  <c r="I28" i="65"/>
  <c r="K27" i="65"/>
  <c r="I56" i="64"/>
  <c r="K55" i="64"/>
  <c r="I29" i="64"/>
  <c r="K28" i="64"/>
  <c r="K54" i="63"/>
  <c r="I55" i="63"/>
  <c r="K27" i="63"/>
  <c r="I28" i="63"/>
  <c r="K54" i="62"/>
  <c r="I55" i="62"/>
  <c r="I28" i="62"/>
  <c r="K27" i="62"/>
  <c r="I28" i="61"/>
  <c r="K27" i="61"/>
  <c r="K54" i="61"/>
  <c r="I55" i="61"/>
  <c r="I29" i="78" l="1"/>
  <c r="K28" i="78"/>
  <c r="I56" i="78"/>
  <c r="K55" i="78"/>
  <c r="I56" i="77"/>
  <c r="K55" i="77"/>
  <c r="I29" i="77"/>
  <c r="K28" i="77"/>
  <c r="I29" i="76"/>
  <c r="K28" i="76"/>
  <c r="K54" i="76"/>
  <c r="I56" i="75"/>
  <c r="K55" i="75"/>
  <c r="K28" i="75"/>
  <c r="I29" i="75"/>
  <c r="K28" i="74"/>
  <c r="I29" i="74"/>
  <c r="I56" i="74"/>
  <c r="K55" i="74"/>
  <c r="I56" i="73"/>
  <c r="K55" i="73"/>
  <c r="K28" i="73"/>
  <c r="I29" i="73"/>
  <c r="I56" i="72"/>
  <c r="K55" i="72"/>
  <c r="I29" i="72"/>
  <c r="K28" i="72"/>
  <c r="I29" i="71"/>
  <c r="K28" i="71"/>
  <c r="K55" i="71"/>
  <c r="I56" i="70"/>
  <c r="K55" i="70"/>
  <c r="I29" i="70"/>
  <c r="K28" i="70"/>
  <c r="I56" i="69"/>
  <c r="K55" i="69"/>
  <c r="I29" i="69"/>
  <c r="K28" i="69"/>
  <c r="K28" i="68"/>
  <c r="I29" i="68"/>
  <c r="I56" i="68"/>
  <c r="K55" i="68"/>
  <c r="K28" i="67"/>
  <c r="I29" i="67"/>
  <c r="I56" i="67"/>
  <c r="K55" i="67"/>
  <c r="I40" i="66"/>
  <c r="K39" i="66"/>
  <c r="K28" i="65"/>
  <c r="I29" i="65"/>
  <c r="I56" i="65"/>
  <c r="K55" i="65"/>
  <c r="I30" i="64"/>
  <c r="K29" i="64"/>
  <c r="K56" i="64"/>
  <c r="I57" i="64"/>
  <c r="K28" i="63"/>
  <c r="I29" i="63"/>
  <c r="I56" i="63"/>
  <c r="K55" i="63"/>
  <c r="I29" i="62"/>
  <c r="K28" i="62"/>
  <c r="I56" i="62"/>
  <c r="K55" i="62"/>
  <c r="I56" i="61"/>
  <c r="K55" i="61"/>
  <c r="K28" i="61"/>
  <c r="I29" i="61"/>
  <c r="K56" i="78" l="1"/>
  <c r="I57" i="78"/>
  <c r="I30" i="78"/>
  <c r="K29" i="78"/>
  <c r="I30" i="77"/>
  <c r="K29" i="77"/>
  <c r="K56" i="77"/>
  <c r="I57" i="77"/>
  <c r="K55" i="76"/>
  <c r="I30" i="76"/>
  <c r="K29" i="76"/>
  <c r="I30" i="75"/>
  <c r="K29" i="75"/>
  <c r="K56" i="75"/>
  <c r="I57" i="75"/>
  <c r="K56" i="74"/>
  <c r="I57" i="74"/>
  <c r="I30" i="74"/>
  <c r="K29" i="74"/>
  <c r="I30" i="73"/>
  <c r="K29" i="73"/>
  <c r="K56" i="73"/>
  <c r="I57" i="73"/>
  <c r="I30" i="72"/>
  <c r="K29" i="72"/>
  <c r="K56" i="72"/>
  <c r="I57" i="72"/>
  <c r="K56" i="71"/>
  <c r="K29" i="71"/>
  <c r="I30" i="71"/>
  <c r="I30" i="70"/>
  <c r="K29" i="70"/>
  <c r="K56" i="70"/>
  <c r="I57" i="70"/>
  <c r="I30" i="69"/>
  <c r="K29" i="69"/>
  <c r="K56" i="69"/>
  <c r="I57" i="69"/>
  <c r="K56" i="68"/>
  <c r="I57" i="68"/>
  <c r="I30" i="68"/>
  <c r="K29" i="68"/>
  <c r="K56" i="67"/>
  <c r="I57" i="67"/>
  <c r="I30" i="67"/>
  <c r="K29" i="67"/>
  <c r="K40" i="66"/>
  <c r="I41" i="66"/>
  <c r="I30" i="65"/>
  <c r="K29" i="65"/>
  <c r="K56" i="65"/>
  <c r="I57" i="65"/>
  <c r="K57" i="64"/>
  <c r="I58" i="64"/>
  <c r="I31" i="64"/>
  <c r="K30" i="64"/>
  <c r="I30" i="63"/>
  <c r="K29" i="63"/>
  <c r="K56" i="63"/>
  <c r="I57" i="63"/>
  <c r="K56" i="62"/>
  <c r="I57" i="62"/>
  <c r="I30" i="62"/>
  <c r="K29" i="62"/>
  <c r="I30" i="61"/>
  <c r="K29" i="61"/>
  <c r="K56" i="61"/>
  <c r="I57" i="61"/>
  <c r="K30" i="78" l="1"/>
  <c r="I31" i="78"/>
  <c r="I58" i="78"/>
  <c r="K57" i="78"/>
  <c r="I58" i="77"/>
  <c r="K57" i="77"/>
  <c r="I31" i="77"/>
  <c r="K30" i="77"/>
  <c r="K56" i="76"/>
  <c r="I31" i="76"/>
  <c r="K30" i="76"/>
  <c r="I58" i="75"/>
  <c r="K57" i="75"/>
  <c r="I31" i="75"/>
  <c r="K30" i="75"/>
  <c r="I31" i="74"/>
  <c r="K30" i="74"/>
  <c r="I58" i="74"/>
  <c r="K57" i="74"/>
  <c r="K57" i="73"/>
  <c r="I58" i="73"/>
  <c r="I31" i="73"/>
  <c r="K30" i="73"/>
  <c r="I58" i="72"/>
  <c r="K57" i="72"/>
  <c r="I31" i="72"/>
  <c r="K30" i="72"/>
  <c r="I31" i="71"/>
  <c r="K30" i="71"/>
  <c r="K57" i="71"/>
  <c r="I58" i="70"/>
  <c r="K57" i="70"/>
  <c r="K30" i="70"/>
  <c r="I31" i="70"/>
  <c r="I58" i="69"/>
  <c r="K57" i="69"/>
  <c r="K30" i="69"/>
  <c r="I31" i="69"/>
  <c r="I58" i="68"/>
  <c r="K57" i="68"/>
  <c r="I31" i="68"/>
  <c r="K30" i="68"/>
  <c r="K30" i="67"/>
  <c r="I31" i="67"/>
  <c r="K57" i="67"/>
  <c r="I58" i="67"/>
  <c r="I42" i="66"/>
  <c r="K41" i="66"/>
  <c r="K57" i="65"/>
  <c r="I58" i="65"/>
  <c r="I31" i="65"/>
  <c r="K30" i="65"/>
  <c r="I32" i="64"/>
  <c r="K31" i="64"/>
  <c r="I59" i="64"/>
  <c r="K58" i="64"/>
  <c r="K57" i="63"/>
  <c r="I58" i="63"/>
  <c r="I31" i="63"/>
  <c r="K30" i="63"/>
  <c r="K30" i="62"/>
  <c r="I31" i="62"/>
  <c r="K57" i="62"/>
  <c r="I58" i="62"/>
  <c r="I58" i="61"/>
  <c r="K57" i="61"/>
  <c r="I31" i="61"/>
  <c r="K30" i="61"/>
  <c r="I59" i="78" l="1"/>
  <c r="K58" i="78"/>
  <c r="I32" i="78"/>
  <c r="K31" i="78"/>
  <c r="I32" i="77"/>
  <c r="K31" i="77"/>
  <c r="I59" i="77"/>
  <c r="K58" i="77"/>
  <c r="I32" i="76"/>
  <c r="K31" i="76"/>
  <c r="K57" i="76"/>
  <c r="I32" i="75"/>
  <c r="K31" i="75"/>
  <c r="K58" i="75"/>
  <c r="I59" i="75"/>
  <c r="I59" i="74"/>
  <c r="K58" i="74"/>
  <c r="I32" i="74"/>
  <c r="K31" i="74"/>
  <c r="I32" i="73"/>
  <c r="K31" i="73"/>
  <c r="I59" i="73"/>
  <c r="K58" i="73"/>
  <c r="I32" i="72"/>
  <c r="K31" i="72"/>
  <c r="I59" i="72"/>
  <c r="K58" i="72"/>
  <c r="K58" i="71"/>
  <c r="K31" i="71"/>
  <c r="I32" i="71"/>
  <c r="I32" i="70"/>
  <c r="K31" i="70"/>
  <c r="I59" i="70"/>
  <c r="K58" i="70"/>
  <c r="I32" i="69"/>
  <c r="K31" i="69"/>
  <c r="I59" i="69"/>
  <c r="K58" i="69"/>
  <c r="I32" i="68"/>
  <c r="K31" i="68"/>
  <c r="I59" i="68"/>
  <c r="K58" i="68"/>
  <c r="I59" i="67"/>
  <c r="K58" i="67"/>
  <c r="I32" i="67"/>
  <c r="K31" i="67"/>
  <c r="I43" i="66"/>
  <c r="K42" i="66"/>
  <c r="I32" i="65"/>
  <c r="K31" i="65"/>
  <c r="K58" i="65"/>
  <c r="I59" i="65"/>
  <c r="I60" i="64"/>
  <c r="K59" i="64"/>
  <c r="I33" i="64"/>
  <c r="K32" i="64"/>
  <c r="K31" i="63"/>
  <c r="I32" i="63"/>
  <c r="K58" i="63"/>
  <c r="I59" i="63"/>
  <c r="I59" i="62"/>
  <c r="K58" i="62"/>
  <c r="I32" i="62"/>
  <c r="K31" i="62"/>
  <c r="K31" i="61"/>
  <c r="I32" i="61"/>
  <c r="I59" i="61"/>
  <c r="K58" i="61"/>
  <c r="G77" i="60"/>
  <c r="K77" i="60"/>
  <c r="G37" i="60"/>
  <c r="G36" i="60"/>
  <c r="G35" i="60"/>
  <c r="G34" i="60"/>
  <c r="G33" i="60"/>
  <c r="G32" i="60"/>
  <c r="G31" i="60"/>
  <c r="G30" i="60"/>
  <c r="G29" i="60"/>
  <c r="G28" i="60"/>
  <c r="G27" i="60"/>
  <c r="G26" i="60"/>
  <c r="G25" i="60"/>
  <c r="G24" i="60"/>
  <c r="G23" i="60"/>
  <c r="G22" i="60"/>
  <c r="G21" i="60"/>
  <c r="G20" i="60"/>
  <c r="G19" i="60"/>
  <c r="G18" i="60"/>
  <c r="G17" i="60"/>
  <c r="G16" i="60"/>
  <c r="G15" i="60"/>
  <c r="G14" i="60"/>
  <c r="G13" i="60"/>
  <c r="G12" i="60"/>
  <c r="G11" i="60"/>
  <c r="I11" i="60" s="1"/>
  <c r="G4" i="60"/>
  <c r="K77" i="59"/>
  <c r="G77" i="59"/>
  <c r="G37" i="59"/>
  <c r="G36" i="59"/>
  <c r="G35" i="59"/>
  <c r="G34" i="59"/>
  <c r="G33" i="59"/>
  <c r="G32" i="59"/>
  <c r="G31" i="59"/>
  <c r="G30" i="59"/>
  <c r="G29" i="59"/>
  <c r="G28" i="59"/>
  <c r="G27" i="59"/>
  <c r="G26" i="59"/>
  <c r="G25" i="59"/>
  <c r="G24" i="59"/>
  <c r="G23" i="59"/>
  <c r="G22" i="59"/>
  <c r="G21" i="59"/>
  <c r="G20" i="59"/>
  <c r="G19" i="59"/>
  <c r="G18" i="59"/>
  <c r="G17" i="59"/>
  <c r="G16" i="59"/>
  <c r="G15" i="59"/>
  <c r="G14" i="59"/>
  <c r="G13" i="59"/>
  <c r="G12" i="59"/>
  <c r="G11" i="59"/>
  <c r="I11" i="59" s="1"/>
  <c r="K11" i="59" s="1"/>
  <c r="G4" i="59"/>
  <c r="K77" i="58"/>
  <c r="G77" i="58"/>
  <c r="G37" i="58"/>
  <c r="G36" i="58"/>
  <c r="G35" i="58"/>
  <c r="G34" i="58"/>
  <c r="G33" i="58"/>
  <c r="G32" i="58"/>
  <c r="G31" i="58"/>
  <c r="G30" i="58"/>
  <c r="G29" i="58"/>
  <c r="G28" i="58"/>
  <c r="G27" i="58"/>
  <c r="G26" i="58"/>
  <c r="G25" i="58"/>
  <c r="G24" i="58"/>
  <c r="G23" i="58"/>
  <c r="G22" i="58"/>
  <c r="G21" i="58"/>
  <c r="G20" i="58"/>
  <c r="G19" i="58"/>
  <c r="G18" i="58"/>
  <c r="G17" i="58"/>
  <c r="G16" i="58"/>
  <c r="G15" i="58"/>
  <c r="G14" i="58"/>
  <c r="G13" i="58"/>
  <c r="G12" i="58"/>
  <c r="G11" i="58"/>
  <c r="I11" i="58" s="1"/>
  <c r="G4" i="58"/>
  <c r="G4" i="37"/>
  <c r="G52" i="19"/>
  <c r="G51" i="19"/>
  <c r="G50" i="19"/>
  <c r="G70" i="23"/>
  <c r="G4" i="52"/>
  <c r="G44" i="52"/>
  <c r="G43" i="52"/>
  <c r="G42" i="52"/>
  <c r="G41" i="52"/>
  <c r="G11" i="57"/>
  <c r="I11" i="57" s="1"/>
  <c r="K77" i="57"/>
  <c r="G77" i="57"/>
  <c r="G37" i="57"/>
  <c r="G36" i="57"/>
  <c r="G35" i="57"/>
  <c r="G34" i="57"/>
  <c r="G33" i="57"/>
  <c r="G32" i="57"/>
  <c r="G31" i="57"/>
  <c r="G30" i="57"/>
  <c r="G29" i="57"/>
  <c r="G28" i="57"/>
  <c r="G27" i="57"/>
  <c r="G26" i="57"/>
  <c r="G25" i="57"/>
  <c r="G24" i="57"/>
  <c r="G23" i="57"/>
  <c r="G22" i="57"/>
  <c r="G21" i="57"/>
  <c r="G20" i="57"/>
  <c r="G19" i="57"/>
  <c r="G18" i="57"/>
  <c r="G4" i="57"/>
  <c r="G41" i="56"/>
  <c r="G79" i="56" s="1"/>
  <c r="K79" i="56"/>
  <c r="G37" i="56"/>
  <c r="G36" i="56"/>
  <c r="G35" i="56"/>
  <c r="G34" i="56"/>
  <c r="G33" i="56"/>
  <c r="G32" i="56"/>
  <c r="G31" i="56"/>
  <c r="G30" i="56"/>
  <c r="G29" i="56"/>
  <c r="G28" i="56"/>
  <c r="G27" i="56"/>
  <c r="G26" i="56"/>
  <c r="G25" i="56"/>
  <c r="G24" i="56"/>
  <c r="G23" i="56"/>
  <c r="G22" i="56"/>
  <c r="G21" i="56"/>
  <c r="G20" i="56"/>
  <c r="G19" i="56"/>
  <c r="G18" i="56"/>
  <c r="G17" i="56"/>
  <c r="G16" i="56"/>
  <c r="G15" i="56"/>
  <c r="G14" i="56"/>
  <c r="G13" i="56"/>
  <c r="G12" i="56"/>
  <c r="G11" i="56"/>
  <c r="I11" i="56" s="1"/>
  <c r="G4" i="56"/>
  <c r="G83" i="21"/>
  <c r="K38" i="58" l="1"/>
  <c r="G38" i="57"/>
  <c r="G3" i="57" s="1"/>
  <c r="I33" i="78"/>
  <c r="K32" i="78"/>
  <c r="I60" i="78"/>
  <c r="K59" i="78"/>
  <c r="I60" i="77"/>
  <c r="K59" i="77"/>
  <c r="I33" i="77"/>
  <c r="K32" i="77"/>
  <c r="K58" i="76"/>
  <c r="K32" i="76"/>
  <c r="I33" i="76"/>
  <c r="I60" i="75"/>
  <c r="K59" i="75"/>
  <c r="I33" i="75"/>
  <c r="K32" i="75"/>
  <c r="I33" i="74"/>
  <c r="K32" i="74"/>
  <c r="I60" i="74"/>
  <c r="K59" i="74"/>
  <c r="I60" i="73"/>
  <c r="K59" i="73"/>
  <c r="K32" i="73"/>
  <c r="I33" i="73"/>
  <c r="I60" i="72"/>
  <c r="K59" i="72"/>
  <c r="I33" i="72"/>
  <c r="K32" i="72"/>
  <c r="I33" i="71"/>
  <c r="K32" i="71"/>
  <c r="K59" i="71"/>
  <c r="I60" i="70"/>
  <c r="K59" i="70"/>
  <c r="I33" i="70"/>
  <c r="K32" i="70"/>
  <c r="I60" i="69"/>
  <c r="K59" i="69"/>
  <c r="K32" i="69"/>
  <c r="I33" i="69"/>
  <c r="I60" i="68"/>
  <c r="K59" i="68"/>
  <c r="I33" i="68"/>
  <c r="K32" i="68"/>
  <c r="I33" i="67"/>
  <c r="K32" i="67"/>
  <c r="I60" i="67"/>
  <c r="K59" i="67"/>
  <c r="K43" i="66"/>
  <c r="I44" i="66"/>
  <c r="K38" i="56"/>
  <c r="K38" i="60"/>
  <c r="I60" i="65"/>
  <c r="K59" i="65"/>
  <c r="I33" i="65"/>
  <c r="K32" i="65"/>
  <c r="K33" i="64"/>
  <c r="I34" i="64"/>
  <c r="K60" i="64"/>
  <c r="I61" i="64"/>
  <c r="I60" i="63"/>
  <c r="K59" i="63"/>
  <c r="K32" i="63"/>
  <c r="I33" i="63"/>
  <c r="I33" i="62"/>
  <c r="K32" i="62"/>
  <c r="I60" i="62"/>
  <c r="K59" i="62"/>
  <c r="I60" i="61"/>
  <c r="K59" i="61"/>
  <c r="I33" i="61"/>
  <c r="K32" i="61"/>
  <c r="K11" i="60"/>
  <c r="I12" i="60"/>
  <c r="G38" i="60"/>
  <c r="G3" i="60" s="1"/>
  <c r="G38" i="59"/>
  <c r="G3" i="59" s="1"/>
  <c r="I12" i="59"/>
  <c r="K38" i="59"/>
  <c r="K11" i="58"/>
  <c r="I12" i="58"/>
  <c r="G38" i="58"/>
  <c r="G3" i="58" s="1"/>
  <c r="K11" i="57"/>
  <c r="I12" i="57"/>
  <c r="K38" i="57"/>
  <c r="K11" i="56"/>
  <c r="I12" i="56"/>
  <c r="G38" i="56"/>
  <c r="G3" i="56" s="1"/>
  <c r="I61" i="78" l="1"/>
  <c r="K60" i="78"/>
  <c r="I34" i="78"/>
  <c r="K33" i="78"/>
  <c r="I34" i="77"/>
  <c r="K33" i="77"/>
  <c r="K60" i="77"/>
  <c r="I61" i="77"/>
  <c r="I34" i="76"/>
  <c r="K33" i="76"/>
  <c r="K59" i="76"/>
  <c r="I34" i="75"/>
  <c r="K33" i="75"/>
  <c r="I61" i="75"/>
  <c r="K60" i="75"/>
  <c r="I61" i="74"/>
  <c r="K60" i="74"/>
  <c r="I34" i="74"/>
  <c r="K33" i="74"/>
  <c r="I34" i="73"/>
  <c r="K33" i="73"/>
  <c r="K60" i="73"/>
  <c r="I61" i="73"/>
  <c r="K33" i="72"/>
  <c r="I34" i="72"/>
  <c r="K60" i="72"/>
  <c r="I61" i="72"/>
  <c r="K60" i="71"/>
  <c r="I34" i="71"/>
  <c r="K33" i="71"/>
  <c r="K33" i="70"/>
  <c r="I34" i="70"/>
  <c r="I61" i="70"/>
  <c r="K60" i="70"/>
  <c r="K33" i="69"/>
  <c r="I34" i="69"/>
  <c r="I61" i="69"/>
  <c r="K60" i="69"/>
  <c r="I34" i="68"/>
  <c r="K33" i="68"/>
  <c r="I61" i="68"/>
  <c r="K60" i="68"/>
  <c r="K60" i="67"/>
  <c r="I61" i="67"/>
  <c r="K33" i="67"/>
  <c r="I34" i="67"/>
  <c r="K44" i="66"/>
  <c r="I45" i="66"/>
  <c r="K33" i="65"/>
  <c r="I34" i="65"/>
  <c r="I61" i="65"/>
  <c r="K60" i="65"/>
  <c r="I62" i="64"/>
  <c r="K61" i="64"/>
  <c r="K34" i="64"/>
  <c r="I35" i="64"/>
  <c r="K35" i="64" s="1"/>
  <c r="K33" i="63"/>
  <c r="I34" i="63"/>
  <c r="I61" i="63"/>
  <c r="K60" i="63"/>
  <c r="K60" i="62"/>
  <c r="I61" i="62"/>
  <c r="K33" i="62"/>
  <c r="I34" i="62"/>
  <c r="I34" i="61"/>
  <c r="K33" i="61"/>
  <c r="I61" i="61"/>
  <c r="K60" i="61"/>
  <c r="I13" i="60"/>
  <c r="K12" i="60"/>
  <c r="I13" i="59"/>
  <c r="K12" i="59"/>
  <c r="I13" i="58"/>
  <c r="K12" i="58"/>
  <c r="I13" i="57"/>
  <c r="K12" i="57"/>
  <c r="K12" i="56"/>
  <c r="I13" i="56"/>
  <c r="I35" i="78" l="1"/>
  <c r="K35" i="78" s="1"/>
  <c r="K34" i="78"/>
  <c r="I62" i="78"/>
  <c r="K61" i="78"/>
  <c r="K61" i="77"/>
  <c r="I62" i="77"/>
  <c r="K34" i="77"/>
  <c r="I35" i="77"/>
  <c r="K35" i="77" s="1"/>
  <c r="K60" i="76"/>
  <c r="K34" i="76"/>
  <c r="I35" i="76"/>
  <c r="K35" i="76" s="1"/>
  <c r="I62" i="75"/>
  <c r="K61" i="75"/>
  <c r="K34" i="75"/>
  <c r="I35" i="75"/>
  <c r="K35" i="75" s="1"/>
  <c r="K34" i="74"/>
  <c r="I35" i="74"/>
  <c r="K35" i="74" s="1"/>
  <c r="K61" i="74"/>
  <c r="I62" i="74"/>
  <c r="K61" i="73"/>
  <c r="I62" i="73"/>
  <c r="K34" i="73"/>
  <c r="I35" i="73"/>
  <c r="K35" i="73" s="1"/>
  <c r="K61" i="72"/>
  <c r="I62" i="72"/>
  <c r="K34" i="72"/>
  <c r="I35" i="72"/>
  <c r="K35" i="72" s="1"/>
  <c r="I35" i="71"/>
  <c r="K34" i="71"/>
  <c r="K61" i="71"/>
  <c r="I62" i="70"/>
  <c r="K61" i="70"/>
  <c r="I35" i="70"/>
  <c r="K35" i="70" s="1"/>
  <c r="K34" i="70"/>
  <c r="I35" i="69"/>
  <c r="K35" i="69" s="1"/>
  <c r="K34" i="69"/>
  <c r="I62" i="69"/>
  <c r="K61" i="69"/>
  <c r="I62" i="68"/>
  <c r="K61" i="68"/>
  <c r="K34" i="68"/>
  <c r="I35" i="68"/>
  <c r="K35" i="68" s="1"/>
  <c r="K34" i="67"/>
  <c r="I35" i="67"/>
  <c r="K35" i="67" s="1"/>
  <c r="K61" i="67"/>
  <c r="I62" i="67"/>
  <c r="K45" i="66"/>
  <c r="I46" i="66"/>
  <c r="K61" i="65"/>
  <c r="I62" i="65"/>
  <c r="K34" i="65"/>
  <c r="I35" i="65"/>
  <c r="K35" i="65" s="1"/>
  <c r="I63" i="64"/>
  <c r="K62" i="64"/>
  <c r="K61" i="63"/>
  <c r="I62" i="63"/>
  <c r="I35" i="63"/>
  <c r="K35" i="63" s="1"/>
  <c r="K34" i="63"/>
  <c r="K61" i="62"/>
  <c r="I62" i="62"/>
  <c r="K34" i="62"/>
  <c r="I35" i="62"/>
  <c r="K35" i="62" s="1"/>
  <c r="I62" i="61"/>
  <c r="K61" i="61"/>
  <c r="K34" i="61"/>
  <c r="I35" i="61"/>
  <c r="K35" i="61" s="1"/>
  <c r="I14" i="60"/>
  <c r="I41" i="60"/>
  <c r="K13" i="60"/>
  <c r="I14" i="59"/>
  <c r="I41" i="59"/>
  <c r="K13" i="59"/>
  <c r="I41" i="58"/>
  <c r="I14" i="58"/>
  <c r="K13" i="58"/>
  <c r="K13" i="57"/>
  <c r="I14" i="57"/>
  <c r="I41" i="57"/>
  <c r="K13" i="56"/>
  <c r="I41" i="56"/>
  <c r="I14" i="56"/>
  <c r="I63" i="78" l="1"/>
  <c r="K62" i="78"/>
  <c r="I63" i="77"/>
  <c r="K62" i="77"/>
  <c r="K61" i="76"/>
  <c r="I63" i="75"/>
  <c r="K62" i="75"/>
  <c r="I63" i="74"/>
  <c r="K62" i="74"/>
  <c r="I63" i="73"/>
  <c r="K62" i="73"/>
  <c r="I63" i="72"/>
  <c r="K62" i="72"/>
  <c r="K62" i="71"/>
  <c r="K35" i="71"/>
  <c r="I36" i="71"/>
  <c r="K36" i="71" s="1"/>
  <c r="I63" i="70"/>
  <c r="K62" i="70"/>
  <c r="I63" i="69"/>
  <c r="K62" i="69"/>
  <c r="K62" i="68"/>
  <c r="I63" i="68"/>
  <c r="I63" i="67"/>
  <c r="K62" i="67"/>
  <c r="I47" i="66"/>
  <c r="K46" i="66"/>
  <c r="I63" i="65"/>
  <c r="K62" i="65"/>
  <c r="K63" i="64"/>
  <c r="I64" i="64"/>
  <c r="I63" i="63"/>
  <c r="K62" i="63"/>
  <c r="I63" i="62"/>
  <c r="K62" i="62"/>
  <c r="I63" i="61"/>
  <c r="K62" i="61"/>
  <c r="I42" i="60"/>
  <c r="K41" i="60"/>
  <c r="K14" i="60"/>
  <c r="I15" i="60"/>
  <c r="I42" i="59"/>
  <c r="K41" i="59"/>
  <c r="K14" i="59"/>
  <c r="I15" i="59"/>
  <c r="K14" i="58"/>
  <c r="I15" i="58"/>
  <c r="I42" i="58"/>
  <c r="K41" i="58"/>
  <c r="I42" i="57"/>
  <c r="I43" i="57" s="1"/>
  <c r="I44" i="57" s="1"/>
  <c r="I45" i="57" s="1"/>
  <c r="I46" i="57" s="1"/>
  <c r="I47" i="57" s="1"/>
  <c r="I48" i="57" s="1"/>
  <c r="I49" i="57" s="1"/>
  <c r="I50" i="57" s="1"/>
  <c r="I51" i="57" s="1"/>
  <c r="I52" i="57" s="1"/>
  <c r="I53" i="57" s="1"/>
  <c r="I54" i="57" s="1"/>
  <c r="I55" i="57" s="1"/>
  <c r="I56" i="57" s="1"/>
  <c r="I57" i="57" s="1"/>
  <c r="I58" i="57" s="1"/>
  <c r="I59" i="57" s="1"/>
  <c r="I60" i="57" s="1"/>
  <c r="K41" i="57"/>
  <c r="K14" i="57"/>
  <c r="I15" i="57"/>
  <c r="K14" i="56"/>
  <c r="I15" i="56"/>
  <c r="I42" i="56"/>
  <c r="K41" i="56"/>
  <c r="K63" i="78" l="1"/>
  <c r="I64" i="78"/>
  <c r="K63" i="77"/>
  <c r="I64" i="77"/>
  <c r="K62" i="76"/>
  <c r="K63" i="75"/>
  <c r="I64" i="75"/>
  <c r="K63" i="74"/>
  <c r="I64" i="74"/>
  <c r="K63" i="73"/>
  <c r="I64" i="73"/>
  <c r="K63" i="72"/>
  <c r="I64" i="72"/>
  <c r="K63" i="71"/>
  <c r="K63" i="70"/>
  <c r="I64" i="70"/>
  <c r="K63" i="69"/>
  <c r="I64" i="69"/>
  <c r="K63" i="68"/>
  <c r="I64" i="68"/>
  <c r="K63" i="67"/>
  <c r="I64" i="67"/>
  <c r="I48" i="66"/>
  <c r="K47" i="66"/>
  <c r="K63" i="65"/>
  <c r="I64" i="65"/>
  <c r="I65" i="64"/>
  <c r="K64" i="64"/>
  <c r="K63" i="63"/>
  <c r="I64" i="63"/>
  <c r="K63" i="62"/>
  <c r="I64" i="62"/>
  <c r="K63" i="61"/>
  <c r="I64" i="61"/>
  <c r="I16" i="60"/>
  <c r="K15" i="60"/>
  <c r="K42" i="60"/>
  <c r="I43" i="60"/>
  <c r="I16" i="59"/>
  <c r="K15" i="59"/>
  <c r="K42" i="59"/>
  <c r="I43" i="59"/>
  <c r="K42" i="58"/>
  <c r="I43" i="58"/>
  <c r="I16" i="58"/>
  <c r="K15" i="58"/>
  <c r="I16" i="57"/>
  <c r="K15" i="57"/>
  <c r="K42" i="57"/>
  <c r="K42" i="56"/>
  <c r="I43" i="56"/>
  <c r="I16" i="56"/>
  <c r="K15" i="56"/>
  <c r="K64" i="78" l="1"/>
  <c r="I65" i="78"/>
  <c r="I65" i="77"/>
  <c r="K64" i="77"/>
  <c r="K63" i="76"/>
  <c r="I65" i="75"/>
  <c r="K64" i="75"/>
  <c r="I65" i="74"/>
  <c r="K64" i="74"/>
  <c r="K64" i="73"/>
  <c r="I65" i="73"/>
  <c r="I65" i="72"/>
  <c r="K64" i="72"/>
  <c r="K64" i="71"/>
  <c r="K64" i="70"/>
  <c r="I65" i="70"/>
  <c r="K64" i="69"/>
  <c r="I65" i="69"/>
  <c r="I65" i="68"/>
  <c r="K64" i="68"/>
  <c r="K64" i="67"/>
  <c r="I65" i="67"/>
  <c r="I49" i="66"/>
  <c r="K48" i="66"/>
  <c r="I65" i="65"/>
  <c r="K64" i="65"/>
  <c r="I66" i="64"/>
  <c r="K65" i="64"/>
  <c r="I65" i="63"/>
  <c r="K64" i="63"/>
  <c r="K64" i="62"/>
  <c r="I65" i="62"/>
  <c r="I65" i="61"/>
  <c r="K64" i="61"/>
  <c r="K43" i="60"/>
  <c r="I44" i="60"/>
  <c r="K16" i="60"/>
  <c r="I17" i="60"/>
  <c r="K43" i="59"/>
  <c r="I44" i="59"/>
  <c r="I17" i="59"/>
  <c r="K16" i="59"/>
  <c r="K16" i="58"/>
  <c r="I17" i="58"/>
  <c r="I44" i="58"/>
  <c r="K43" i="58"/>
  <c r="K43" i="57"/>
  <c r="I17" i="57"/>
  <c r="K16" i="57"/>
  <c r="I17" i="56"/>
  <c r="K16" i="56"/>
  <c r="I44" i="56"/>
  <c r="K43" i="56"/>
  <c r="I66" i="78" l="1"/>
  <c r="K65" i="78"/>
  <c r="I66" i="77"/>
  <c r="K65" i="77"/>
  <c r="K64" i="76"/>
  <c r="K65" i="75"/>
  <c r="I66" i="75"/>
  <c r="I66" i="74"/>
  <c r="K65" i="74"/>
  <c r="I66" i="73"/>
  <c r="K65" i="73"/>
  <c r="I66" i="72"/>
  <c r="K65" i="72"/>
  <c r="K65" i="71"/>
  <c r="K65" i="70"/>
  <c r="I66" i="70"/>
  <c r="K65" i="69"/>
  <c r="I66" i="69"/>
  <c r="I66" i="68"/>
  <c r="K65" i="68"/>
  <c r="I66" i="67"/>
  <c r="K65" i="67"/>
  <c r="I78" i="66"/>
  <c r="I50" i="66"/>
  <c r="K49" i="66"/>
  <c r="I66" i="65"/>
  <c r="K65" i="65"/>
  <c r="I67" i="64"/>
  <c r="K66" i="64"/>
  <c r="I66" i="63"/>
  <c r="K65" i="63"/>
  <c r="I66" i="62"/>
  <c r="K65" i="62"/>
  <c r="K65" i="61"/>
  <c r="I66" i="61"/>
  <c r="I45" i="60"/>
  <c r="K44" i="60"/>
  <c r="I18" i="60"/>
  <c r="K17" i="60"/>
  <c r="I18" i="59"/>
  <c r="K17" i="59"/>
  <c r="K44" i="59"/>
  <c r="I45" i="59"/>
  <c r="I45" i="58"/>
  <c r="K44" i="58"/>
  <c r="I18" i="58"/>
  <c r="K17" i="58"/>
  <c r="I18" i="57"/>
  <c r="K17" i="57"/>
  <c r="K44" i="57"/>
  <c r="K44" i="56"/>
  <c r="I45" i="56"/>
  <c r="I18" i="56"/>
  <c r="K17" i="56"/>
  <c r="I67" i="78" l="1"/>
  <c r="K66" i="78"/>
  <c r="I67" i="77"/>
  <c r="K66" i="77"/>
  <c r="K65" i="76"/>
  <c r="I67" i="75"/>
  <c r="K66" i="75"/>
  <c r="I67" i="74"/>
  <c r="K66" i="74"/>
  <c r="I67" i="73"/>
  <c r="K66" i="73"/>
  <c r="I67" i="72"/>
  <c r="K66" i="72"/>
  <c r="K66" i="71"/>
  <c r="I67" i="70"/>
  <c r="K66" i="70"/>
  <c r="I67" i="69"/>
  <c r="K66" i="69"/>
  <c r="I67" i="68"/>
  <c r="K66" i="68"/>
  <c r="I67" i="67"/>
  <c r="K66" i="67"/>
  <c r="K50" i="66"/>
  <c r="I51" i="66"/>
  <c r="K78" i="66"/>
  <c r="I79" i="66"/>
  <c r="I67" i="65"/>
  <c r="K66" i="65"/>
  <c r="I68" i="64"/>
  <c r="K67" i="64"/>
  <c r="I67" i="63"/>
  <c r="K66" i="63"/>
  <c r="I67" i="62"/>
  <c r="K66" i="62"/>
  <c r="I67" i="61"/>
  <c r="K66" i="61"/>
  <c r="I19" i="60"/>
  <c r="K18" i="60"/>
  <c r="I46" i="60"/>
  <c r="K45" i="60"/>
  <c r="I46" i="59"/>
  <c r="K45" i="59"/>
  <c r="I19" i="59"/>
  <c r="K18" i="59"/>
  <c r="I19" i="58"/>
  <c r="K18" i="58"/>
  <c r="I46" i="58"/>
  <c r="K45" i="58"/>
  <c r="K45" i="57"/>
  <c r="K18" i="57"/>
  <c r="I19" i="57"/>
  <c r="I19" i="56"/>
  <c r="K18" i="56"/>
  <c r="K45" i="56"/>
  <c r="I46" i="56"/>
  <c r="K67" i="78" l="1"/>
  <c r="I68" i="78"/>
  <c r="K67" i="77"/>
  <c r="I68" i="77"/>
  <c r="K66" i="76"/>
  <c r="K67" i="75"/>
  <c r="I68" i="75"/>
  <c r="K67" i="74"/>
  <c r="I68" i="74"/>
  <c r="I68" i="73"/>
  <c r="K67" i="73"/>
  <c r="I68" i="72"/>
  <c r="K67" i="72"/>
  <c r="K67" i="71"/>
  <c r="I68" i="70"/>
  <c r="K67" i="70"/>
  <c r="I68" i="69"/>
  <c r="K67" i="69"/>
  <c r="I68" i="68"/>
  <c r="K67" i="68"/>
  <c r="I68" i="67"/>
  <c r="K67" i="67"/>
  <c r="K51" i="66"/>
  <c r="I52" i="66"/>
  <c r="I80" i="66"/>
  <c r="K79" i="66"/>
  <c r="K67" i="65"/>
  <c r="I68" i="65"/>
  <c r="K68" i="64"/>
  <c r="I69" i="64"/>
  <c r="K67" i="63"/>
  <c r="I68" i="63"/>
  <c r="I68" i="62"/>
  <c r="K67" i="62"/>
  <c r="K67" i="61"/>
  <c r="I68" i="61"/>
  <c r="K46" i="60"/>
  <c r="I47" i="60"/>
  <c r="I20" i="60"/>
  <c r="K19" i="60"/>
  <c r="I36" i="60"/>
  <c r="I20" i="59"/>
  <c r="K19" i="59"/>
  <c r="I36" i="59"/>
  <c r="K46" i="59"/>
  <c r="I47" i="59"/>
  <c r="I47" i="58"/>
  <c r="K46" i="58"/>
  <c r="K19" i="58"/>
  <c r="I20" i="58"/>
  <c r="I36" i="58"/>
  <c r="K46" i="57"/>
  <c r="I20" i="57"/>
  <c r="K19" i="57"/>
  <c r="I36" i="57"/>
  <c r="I47" i="56"/>
  <c r="K46" i="56"/>
  <c r="K19" i="56"/>
  <c r="I20" i="56"/>
  <c r="I36" i="56"/>
  <c r="K68" i="78" l="1"/>
  <c r="I69" i="78"/>
  <c r="I69" i="77"/>
  <c r="K68" i="77"/>
  <c r="K67" i="76"/>
  <c r="I69" i="75"/>
  <c r="K68" i="75"/>
  <c r="I69" i="74"/>
  <c r="K68" i="74"/>
  <c r="I69" i="73"/>
  <c r="K68" i="73"/>
  <c r="I69" i="72"/>
  <c r="K68" i="72"/>
  <c r="K68" i="71"/>
  <c r="K68" i="70"/>
  <c r="I69" i="70"/>
  <c r="K68" i="69"/>
  <c r="I69" i="69"/>
  <c r="I69" i="68"/>
  <c r="K68" i="68"/>
  <c r="K68" i="67"/>
  <c r="I69" i="67"/>
  <c r="K80" i="66"/>
  <c r="I81" i="66"/>
  <c r="K52" i="66"/>
  <c r="I53" i="66"/>
  <c r="K68" i="65"/>
  <c r="I69" i="65"/>
  <c r="I70" i="64"/>
  <c r="K69" i="64"/>
  <c r="I69" i="63"/>
  <c r="K68" i="63"/>
  <c r="I69" i="62"/>
  <c r="K68" i="62"/>
  <c r="K68" i="61"/>
  <c r="I69" i="61"/>
  <c r="K20" i="60"/>
  <c r="I21" i="60"/>
  <c r="I48" i="60"/>
  <c r="K47" i="60"/>
  <c r="I37" i="60"/>
  <c r="K37" i="60" s="1"/>
  <c r="K36" i="60"/>
  <c r="K47" i="59"/>
  <c r="I48" i="59"/>
  <c r="K36" i="59"/>
  <c r="I37" i="59"/>
  <c r="K37" i="59" s="1"/>
  <c r="K20" i="59"/>
  <c r="I21" i="59"/>
  <c r="I37" i="58"/>
  <c r="K37" i="58" s="1"/>
  <c r="K36" i="58"/>
  <c r="K20" i="58"/>
  <c r="I21" i="58"/>
  <c r="K47" i="58"/>
  <c r="I48" i="58"/>
  <c r="K20" i="57"/>
  <c r="I21" i="57"/>
  <c r="K36" i="57"/>
  <c r="I37" i="57"/>
  <c r="K37" i="57" s="1"/>
  <c r="K47" i="57"/>
  <c r="K20" i="56"/>
  <c r="I21" i="56"/>
  <c r="K36" i="56"/>
  <c r="I37" i="56"/>
  <c r="K37" i="56" s="1"/>
  <c r="K47" i="56"/>
  <c r="I50" i="56"/>
  <c r="I70" i="78" l="1"/>
  <c r="K69" i="78"/>
  <c r="I70" i="77"/>
  <c r="K69" i="77"/>
  <c r="K68" i="76"/>
  <c r="I70" i="75"/>
  <c r="K69" i="75"/>
  <c r="I70" i="74"/>
  <c r="K69" i="74"/>
  <c r="I70" i="73"/>
  <c r="K69" i="73"/>
  <c r="I70" i="72"/>
  <c r="K69" i="72"/>
  <c r="K69" i="71"/>
  <c r="I70" i="70"/>
  <c r="K69" i="70"/>
  <c r="I70" i="69"/>
  <c r="K69" i="69"/>
  <c r="I70" i="68"/>
  <c r="K69" i="68"/>
  <c r="I70" i="67"/>
  <c r="K69" i="67"/>
  <c r="I82" i="66"/>
  <c r="K81" i="66"/>
  <c r="I54" i="66"/>
  <c r="K53" i="66"/>
  <c r="I70" i="65"/>
  <c r="K69" i="65"/>
  <c r="K70" i="64"/>
  <c r="I71" i="64"/>
  <c r="I70" i="63"/>
  <c r="K69" i="63"/>
  <c r="I70" i="62"/>
  <c r="K69" i="62"/>
  <c r="I70" i="61"/>
  <c r="K69" i="61"/>
  <c r="K21" i="60"/>
  <c r="I22" i="60"/>
  <c r="I49" i="60"/>
  <c r="K48" i="60"/>
  <c r="I49" i="59"/>
  <c r="K48" i="59"/>
  <c r="I22" i="59"/>
  <c r="K21" i="59"/>
  <c r="I49" i="58"/>
  <c r="K48" i="58"/>
  <c r="I22" i="58"/>
  <c r="K21" i="58"/>
  <c r="K48" i="57"/>
  <c r="K21" i="57"/>
  <c r="I22" i="57"/>
  <c r="I51" i="56"/>
  <c r="K50" i="56"/>
  <c r="I22" i="56"/>
  <c r="K21" i="56"/>
  <c r="K70" i="78" l="1"/>
  <c r="I71" i="78"/>
  <c r="K70" i="77"/>
  <c r="I71" i="77"/>
  <c r="K69" i="76"/>
  <c r="K70" i="75"/>
  <c r="I71" i="75"/>
  <c r="K70" i="74"/>
  <c r="I71" i="74"/>
  <c r="K70" i="73"/>
  <c r="I71" i="73"/>
  <c r="K70" i="72"/>
  <c r="I71" i="72"/>
  <c r="K70" i="71"/>
  <c r="K70" i="70"/>
  <c r="I71" i="70"/>
  <c r="K70" i="69"/>
  <c r="I71" i="69"/>
  <c r="K70" i="68"/>
  <c r="I71" i="68"/>
  <c r="K70" i="67"/>
  <c r="I71" i="67"/>
  <c r="K54" i="66"/>
  <c r="I55" i="66"/>
  <c r="I83" i="66"/>
  <c r="K82" i="66"/>
  <c r="K70" i="65"/>
  <c r="I71" i="65"/>
  <c r="K71" i="64"/>
  <c r="I72" i="64"/>
  <c r="K70" i="63"/>
  <c r="I71" i="63"/>
  <c r="K70" i="62"/>
  <c r="I71" i="62"/>
  <c r="K70" i="61"/>
  <c r="I71" i="61"/>
  <c r="I23" i="60"/>
  <c r="K22" i="60"/>
  <c r="K49" i="60"/>
  <c r="I50" i="60"/>
  <c r="K22" i="59"/>
  <c r="I23" i="59"/>
  <c r="K49" i="59"/>
  <c r="I50" i="59"/>
  <c r="I23" i="58"/>
  <c r="K22" i="58"/>
  <c r="K49" i="58"/>
  <c r="I50" i="58"/>
  <c r="K22" i="57"/>
  <c r="I23" i="57"/>
  <c r="K49" i="57"/>
  <c r="I23" i="56"/>
  <c r="K22" i="56"/>
  <c r="K51" i="56"/>
  <c r="I52" i="56"/>
  <c r="I72" i="78" l="1"/>
  <c r="K71" i="78"/>
  <c r="I72" i="77"/>
  <c r="K71" i="77"/>
  <c r="K70" i="76"/>
  <c r="K71" i="75"/>
  <c r="I72" i="75"/>
  <c r="I72" i="74"/>
  <c r="K71" i="74"/>
  <c r="I72" i="73"/>
  <c r="K71" i="73"/>
  <c r="I72" i="72"/>
  <c r="K71" i="72"/>
  <c r="K71" i="71"/>
  <c r="I72" i="70"/>
  <c r="K71" i="70"/>
  <c r="I72" i="69"/>
  <c r="K71" i="69"/>
  <c r="I72" i="68"/>
  <c r="K71" i="68"/>
  <c r="K71" i="67"/>
  <c r="I72" i="67"/>
  <c r="I84" i="66"/>
  <c r="K84" i="66" s="1"/>
  <c r="K83" i="66"/>
  <c r="I56" i="66"/>
  <c r="K55" i="66"/>
  <c r="I72" i="65"/>
  <c r="K71" i="65"/>
  <c r="I73" i="64"/>
  <c r="K72" i="64"/>
  <c r="I72" i="63"/>
  <c r="K71" i="63"/>
  <c r="K71" i="62"/>
  <c r="I72" i="62"/>
  <c r="I72" i="61"/>
  <c r="K71" i="61"/>
  <c r="K50" i="60"/>
  <c r="I51" i="60"/>
  <c r="I24" i="60"/>
  <c r="K23" i="60"/>
  <c r="K50" i="59"/>
  <c r="I51" i="59"/>
  <c r="K23" i="59"/>
  <c r="I24" i="59"/>
  <c r="I51" i="58"/>
  <c r="K50" i="58"/>
  <c r="I24" i="58"/>
  <c r="K23" i="58"/>
  <c r="K23" i="57"/>
  <c r="I24" i="57"/>
  <c r="K50" i="57"/>
  <c r="I53" i="56"/>
  <c r="K52" i="56"/>
  <c r="I24" i="56"/>
  <c r="K23" i="56"/>
  <c r="I73" i="78" l="1"/>
  <c r="K72" i="78"/>
  <c r="I73" i="77"/>
  <c r="K72" i="77"/>
  <c r="K71" i="76"/>
  <c r="I73" i="75"/>
  <c r="K72" i="75"/>
  <c r="I73" i="74"/>
  <c r="K72" i="74"/>
  <c r="I73" i="73"/>
  <c r="K72" i="73"/>
  <c r="I73" i="72"/>
  <c r="K72" i="72"/>
  <c r="K72" i="71"/>
  <c r="I73" i="70"/>
  <c r="K72" i="70"/>
  <c r="K72" i="69"/>
  <c r="I73" i="69"/>
  <c r="I73" i="68"/>
  <c r="K72" i="68"/>
  <c r="I73" i="67"/>
  <c r="K72" i="67"/>
  <c r="I57" i="66"/>
  <c r="K56" i="66"/>
  <c r="K72" i="65"/>
  <c r="I73" i="65"/>
  <c r="I74" i="64"/>
  <c r="K73" i="64"/>
  <c r="I73" i="63"/>
  <c r="K72" i="63"/>
  <c r="I73" i="62"/>
  <c r="K72" i="62"/>
  <c r="K72" i="61"/>
  <c r="I73" i="61"/>
  <c r="I52" i="60"/>
  <c r="K51" i="60"/>
  <c r="I25" i="60"/>
  <c r="K24" i="60"/>
  <c r="I52" i="59"/>
  <c r="K51" i="59"/>
  <c r="I25" i="59"/>
  <c r="K24" i="59"/>
  <c r="I25" i="58"/>
  <c r="K24" i="58"/>
  <c r="I52" i="58"/>
  <c r="K51" i="58"/>
  <c r="I25" i="57"/>
  <c r="K24" i="57"/>
  <c r="K51" i="57"/>
  <c r="I25" i="56"/>
  <c r="K24" i="56"/>
  <c r="I54" i="56"/>
  <c r="K53" i="56"/>
  <c r="I74" i="78" l="1"/>
  <c r="K73" i="78"/>
  <c r="I74" i="77"/>
  <c r="K73" i="77"/>
  <c r="K72" i="76"/>
  <c r="I74" i="75"/>
  <c r="K73" i="75"/>
  <c r="I74" i="74"/>
  <c r="K73" i="74"/>
  <c r="I74" i="73"/>
  <c r="K73" i="73"/>
  <c r="I74" i="72"/>
  <c r="K73" i="72"/>
  <c r="K73" i="71"/>
  <c r="I74" i="70"/>
  <c r="K73" i="70"/>
  <c r="I74" i="69"/>
  <c r="K73" i="69"/>
  <c r="I74" i="68"/>
  <c r="K73" i="68"/>
  <c r="I74" i="67"/>
  <c r="K73" i="67"/>
  <c r="K57" i="66"/>
  <c r="I58" i="66"/>
  <c r="I74" i="65"/>
  <c r="K73" i="65"/>
  <c r="I75" i="64"/>
  <c r="K74" i="64"/>
  <c r="I74" i="63"/>
  <c r="K73" i="63"/>
  <c r="I74" i="62"/>
  <c r="K73" i="62"/>
  <c r="I74" i="61"/>
  <c r="K73" i="61"/>
  <c r="K25" i="60"/>
  <c r="I26" i="60"/>
  <c r="I53" i="60"/>
  <c r="K52" i="60"/>
  <c r="K25" i="59"/>
  <c r="I26" i="59"/>
  <c r="I53" i="59"/>
  <c r="K52" i="59"/>
  <c r="I53" i="58"/>
  <c r="K52" i="58"/>
  <c r="K25" i="58"/>
  <c r="I26" i="58"/>
  <c r="K52" i="57"/>
  <c r="K25" i="57"/>
  <c r="I26" i="57"/>
  <c r="K54" i="56"/>
  <c r="I55" i="56"/>
  <c r="K25" i="56"/>
  <c r="I26" i="56"/>
  <c r="I75" i="78" l="1"/>
  <c r="K74" i="78"/>
  <c r="K74" i="77"/>
  <c r="I75" i="77"/>
  <c r="K73" i="76"/>
  <c r="I75" i="75"/>
  <c r="K74" i="75"/>
  <c r="K74" i="74"/>
  <c r="I75" i="74"/>
  <c r="I75" i="73"/>
  <c r="K74" i="73"/>
  <c r="I75" i="72"/>
  <c r="K74" i="72"/>
  <c r="K74" i="71"/>
  <c r="I75" i="70"/>
  <c r="K74" i="70"/>
  <c r="K74" i="69"/>
  <c r="I75" i="69"/>
  <c r="K74" i="68"/>
  <c r="I75" i="68"/>
  <c r="I75" i="67"/>
  <c r="K74" i="67"/>
  <c r="K58" i="66"/>
  <c r="I59" i="66"/>
  <c r="I75" i="65"/>
  <c r="K74" i="65"/>
  <c r="K75" i="64"/>
  <c r="I76" i="64"/>
  <c r="K76" i="64" s="1"/>
  <c r="I75" i="63"/>
  <c r="K74" i="63"/>
  <c r="I75" i="62"/>
  <c r="K74" i="62"/>
  <c r="I75" i="61"/>
  <c r="K74" i="61"/>
  <c r="K53" i="60"/>
  <c r="I54" i="60"/>
  <c r="K26" i="60"/>
  <c r="I27" i="60"/>
  <c r="K53" i="59"/>
  <c r="I54" i="59"/>
  <c r="K26" i="59"/>
  <c r="I27" i="59"/>
  <c r="I27" i="58"/>
  <c r="K26" i="58"/>
  <c r="I54" i="58"/>
  <c r="K53" i="58"/>
  <c r="I27" i="57"/>
  <c r="K26" i="57"/>
  <c r="K53" i="57"/>
  <c r="K26" i="56"/>
  <c r="I27" i="56"/>
  <c r="I56" i="56"/>
  <c r="K55" i="56"/>
  <c r="I76" i="78" l="1"/>
  <c r="K76" i="78" s="1"/>
  <c r="K75" i="78"/>
  <c r="I76" i="77"/>
  <c r="K76" i="77" s="1"/>
  <c r="K75" i="77"/>
  <c r="K75" i="76"/>
  <c r="K74" i="76"/>
  <c r="I76" i="75"/>
  <c r="K76" i="75" s="1"/>
  <c r="K75" i="75"/>
  <c r="I76" i="74"/>
  <c r="K76" i="74" s="1"/>
  <c r="K75" i="74"/>
  <c r="K75" i="73"/>
  <c r="I76" i="73"/>
  <c r="K76" i="73" s="1"/>
  <c r="K75" i="72"/>
  <c r="I76" i="72"/>
  <c r="K76" i="72" s="1"/>
  <c r="K75" i="71"/>
  <c r="K75" i="70"/>
  <c r="I76" i="70"/>
  <c r="K76" i="70" s="1"/>
  <c r="I76" i="69"/>
  <c r="K76" i="69" s="1"/>
  <c r="K75" i="69"/>
  <c r="I76" i="68"/>
  <c r="K76" i="68" s="1"/>
  <c r="K75" i="68"/>
  <c r="I76" i="67"/>
  <c r="K76" i="67" s="1"/>
  <c r="K75" i="67"/>
  <c r="K59" i="66"/>
  <c r="I60" i="66"/>
  <c r="I76" i="65"/>
  <c r="K76" i="65" s="1"/>
  <c r="K75" i="65"/>
  <c r="K75" i="63"/>
  <c r="I76" i="63"/>
  <c r="K76" i="63" s="1"/>
  <c r="I76" i="62"/>
  <c r="K76" i="62" s="1"/>
  <c r="K75" i="62"/>
  <c r="K75" i="61"/>
  <c r="I76" i="61"/>
  <c r="K76" i="61" s="1"/>
  <c r="I28" i="60"/>
  <c r="K27" i="60"/>
  <c r="K54" i="60"/>
  <c r="I55" i="60"/>
  <c r="I28" i="59"/>
  <c r="K27" i="59"/>
  <c r="I55" i="59"/>
  <c r="K54" i="59"/>
  <c r="K54" i="58"/>
  <c r="I55" i="58"/>
  <c r="I28" i="58"/>
  <c r="K27" i="58"/>
  <c r="K54" i="57"/>
  <c r="I28" i="57"/>
  <c r="K27" i="57"/>
  <c r="K27" i="56"/>
  <c r="I28" i="56"/>
  <c r="I57" i="56"/>
  <c r="K56" i="56"/>
  <c r="G49" i="31"/>
  <c r="G66" i="23"/>
  <c r="G48" i="55"/>
  <c r="G47" i="55"/>
  <c r="G80" i="21"/>
  <c r="K77" i="71" l="1"/>
  <c r="K76" i="71"/>
  <c r="I61" i="66"/>
  <c r="K60" i="66"/>
  <c r="I56" i="60"/>
  <c r="K55" i="60"/>
  <c r="K28" i="60"/>
  <c r="I29" i="60"/>
  <c r="I56" i="59"/>
  <c r="K55" i="59"/>
  <c r="K28" i="59"/>
  <c r="I29" i="59"/>
  <c r="I29" i="58"/>
  <c r="K28" i="58"/>
  <c r="I56" i="58"/>
  <c r="K55" i="58"/>
  <c r="I29" i="57"/>
  <c r="K28" i="57"/>
  <c r="K55" i="57"/>
  <c r="I29" i="56"/>
  <c r="K28" i="56"/>
  <c r="I58" i="56"/>
  <c r="K57" i="56"/>
  <c r="G4" i="55"/>
  <c r="G23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56" i="8"/>
  <c r="G48" i="31"/>
  <c r="G64" i="23"/>
  <c r="G44" i="55"/>
  <c r="G42" i="55"/>
  <c r="G41" i="55"/>
  <c r="K77" i="55"/>
  <c r="G37" i="55"/>
  <c r="G36" i="55"/>
  <c r="G35" i="55"/>
  <c r="G34" i="55"/>
  <c r="G33" i="55"/>
  <c r="G32" i="55"/>
  <c r="G31" i="55"/>
  <c r="G30" i="55"/>
  <c r="G29" i="55"/>
  <c r="G28" i="55"/>
  <c r="G27" i="55"/>
  <c r="G26" i="55"/>
  <c r="G25" i="55"/>
  <c r="G24" i="55"/>
  <c r="G23" i="55"/>
  <c r="G22" i="55"/>
  <c r="G21" i="55"/>
  <c r="G20" i="55"/>
  <c r="G19" i="55"/>
  <c r="G18" i="55"/>
  <c r="G17" i="55"/>
  <c r="G16" i="55"/>
  <c r="G15" i="55"/>
  <c r="G14" i="55"/>
  <c r="G11" i="55"/>
  <c r="K77" i="52"/>
  <c r="G77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K77" i="51"/>
  <c r="G77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G13" i="51"/>
  <c r="G12" i="51"/>
  <c r="G11" i="51"/>
  <c r="G4" i="51"/>
  <c r="G78" i="21"/>
  <c r="G47" i="31"/>
  <c r="G4" i="23"/>
  <c r="E49" i="50"/>
  <c r="G4" i="50" s="1"/>
  <c r="K47" i="50"/>
  <c r="G35" i="50"/>
  <c r="G47" i="50" s="1"/>
  <c r="G21" i="50"/>
  <c r="G20" i="50"/>
  <c r="G19" i="50"/>
  <c r="G18" i="50"/>
  <c r="G17" i="50"/>
  <c r="G16" i="50"/>
  <c r="G15" i="50"/>
  <c r="G14" i="50"/>
  <c r="G13" i="50"/>
  <c r="G11" i="50"/>
  <c r="G11" i="49"/>
  <c r="G64" i="49"/>
  <c r="G23" i="49"/>
  <c r="G22" i="49"/>
  <c r="G21" i="49"/>
  <c r="G20" i="49"/>
  <c r="G19" i="49"/>
  <c r="G18" i="49"/>
  <c r="G17" i="49"/>
  <c r="G16" i="49"/>
  <c r="G15" i="49"/>
  <c r="G4" i="49"/>
  <c r="G46" i="31"/>
  <c r="K77" i="48"/>
  <c r="G77" i="48"/>
  <c r="G37" i="48"/>
  <c r="G36" i="48"/>
  <c r="G35" i="48"/>
  <c r="G34" i="48"/>
  <c r="G33" i="48"/>
  <c r="G32" i="48"/>
  <c r="G31" i="48"/>
  <c r="G30" i="48"/>
  <c r="G29" i="48"/>
  <c r="G28" i="48"/>
  <c r="G27" i="48"/>
  <c r="G26" i="48"/>
  <c r="G25" i="48"/>
  <c r="G24" i="48"/>
  <c r="G23" i="48"/>
  <c r="G22" i="48"/>
  <c r="G21" i="48"/>
  <c r="G20" i="48"/>
  <c r="G19" i="48"/>
  <c r="G18" i="48"/>
  <c r="G17" i="48"/>
  <c r="G16" i="48"/>
  <c r="G15" i="48"/>
  <c r="G14" i="48"/>
  <c r="G13" i="48"/>
  <c r="G12" i="48"/>
  <c r="G11" i="48"/>
  <c r="I11" i="48" s="1"/>
  <c r="G4" i="48"/>
  <c r="G62" i="23"/>
  <c r="G49" i="19"/>
  <c r="G35" i="37"/>
  <c r="G76" i="21"/>
  <c r="G75" i="21"/>
  <c r="G61" i="23"/>
  <c r="G4" i="21"/>
  <c r="G14" i="20"/>
  <c r="G15" i="20"/>
  <c r="G16" i="20"/>
  <c r="G17" i="20"/>
  <c r="G18" i="20"/>
  <c r="G19" i="20"/>
  <c r="G20" i="20"/>
  <c r="G21" i="20"/>
  <c r="G22" i="20"/>
  <c r="G23" i="20"/>
  <c r="G6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I11" i="45" s="1"/>
  <c r="G4" i="45"/>
  <c r="G32" i="42"/>
  <c r="G70" i="21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60" i="23"/>
  <c r="G64" i="44"/>
  <c r="G23" i="44"/>
  <c r="G22" i="44"/>
  <c r="G21" i="44"/>
  <c r="G20" i="44"/>
  <c r="G19" i="44"/>
  <c r="G18" i="44"/>
  <c r="G17" i="44"/>
  <c r="G16" i="44"/>
  <c r="G15" i="44"/>
  <c r="G14" i="44"/>
  <c r="G13" i="44"/>
  <c r="G12" i="44"/>
  <c r="G11" i="44"/>
  <c r="I11" i="44" s="1"/>
  <c r="I12" i="44" s="1"/>
  <c r="G4" i="44"/>
  <c r="G64" i="43"/>
  <c r="G23" i="43"/>
  <c r="G22" i="43"/>
  <c r="G21" i="43"/>
  <c r="G20" i="43"/>
  <c r="G19" i="43"/>
  <c r="G18" i="43"/>
  <c r="G17" i="43"/>
  <c r="G16" i="43"/>
  <c r="G15" i="43"/>
  <c r="G14" i="43"/>
  <c r="G13" i="43"/>
  <c r="G12" i="43"/>
  <c r="G11" i="43"/>
  <c r="G4" i="43"/>
  <c r="G11" i="8"/>
  <c r="G44" i="31"/>
  <c r="G40" i="31"/>
  <c r="G33" i="25"/>
  <c r="G77" i="55" l="1"/>
  <c r="G24" i="49"/>
  <c r="K22" i="50"/>
  <c r="K24" i="43"/>
  <c r="G38" i="51"/>
  <c r="G3" i="51" s="1"/>
  <c r="K38" i="51"/>
  <c r="I62" i="66"/>
  <c r="K61" i="66"/>
  <c r="I30" i="60"/>
  <c r="K29" i="60"/>
  <c r="K56" i="60"/>
  <c r="I57" i="60"/>
  <c r="I30" i="59"/>
  <c r="K29" i="59"/>
  <c r="K56" i="59"/>
  <c r="I57" i="59"/>
  <c r="K56" i="58"/>
  <c r="I57" i="58"/>
  <c r="I30" i="58"/>
  <c r="K29" i="58"/>
  <c r="K38" i="52"/>
  <c r="K56" i="57"/>
  <c r="I30" i="57"/>
  <c r="K29" i="57"/>
  <c r="K58" i="56"/>
  <c r="I59" i="56"/>
  <c r="I30" i="56"/>
  <c r="K29" i="56"/>
  <c r="K38" i="55"/>
  <c r="I11" i="55"/>
  <c r="G38" i="55"/>
  <c r="G3" i="55" s="1"/>
  <c r="I11" i="52"/>
  <c r="G38" i="52"/>
  <c r="G3" i="52" s="1"/>
  <c r="I11" i="51"/>
  <c r="G22" i="50"/>
  <c r="G3" i="50" s="1"/>
  <c r="I11" i="50"/>
  <c r="G3" i="49"/>
  <c r="I11" i="49"/>
  <c r="K24" i="49"/>
  <c r="I12" i="48"/>
  <c r="K11" i="48"/>
  <c r="G38" i="48"/>
  <c r="G3" i="48" s="1"/>
  <c r="K38" i="48"/>
  <c r="G3" i="45"/>
  <c r="G24" i="45"/>
  <c r="I12" i="45"/>
  <c r="K11" i="45"/>
  <c r="K24" i="45"/>
  <c r="G24" i="44"/>
  <c r="G3" i="44" s="1"/>
  <c r="I13" i="44"/>
  <c r="K12" i="44"/>
  <c r="K11" i="44"/>
  <c r="K24" i="44"/>
  <c r="I11" i="43"/>
  <c r="I12" i="43" s="1"/>
  <c r="I13" i="43" s="1"/>
  <c r="G24" i="43"/>
  <c r="G3" i="43" s="1"/>
  <c r="G35" i="4"/>
  <c r="G32" i="25"/>
  <c r="G48" i="19"/>
  <c r="F19" i="21"/>
  <c r="G69" i="21"/>
  <c r="G31" i="25"/>
  <c r="G59" i="23"/>
  <c r="G47" i="19"/>
  <c r="G58" i="23"/>
  <c r="G4" i="19"/>
  <c r="G45" i="19"/>
  <c r="G30" i="25"/>
  <c r="K11" i="43" l="1"/>
  <c r="K12" i="43"/>
  <c r="K62" i="66"/>
  <c r="I63" i="66"/>
  <c r="I58" i="60"/>
  <c r="K57" i="60"/>
  <c r="I31" i="60"/>
  <c r="K30" i="60"/>
  <c r="I58" i="59"/>
  <c r="K57" i="59"/>
  <c r="I31" i="59"/>
  <c r="K30" i="59"/>
  <c r="K30" i="58"/>
  <c r="I31" i="58"/>
  <c r="I58" i="58"/>
  <c r="K57" i="58"/>
  <c r="I31" i="57"/>
  <c r="K30" i="57"/>
  <c r="K57" i="57"/>
  <c r="I31" i="56"/>
  <c r="K30" i="56"/>
  <c r="I60" i="56"/>
  <c r="K59" i="56"/>
  <c r="I12" i="55"/>
  <c r="K11" i="55"/>
  <c r="I12" i="52"/>
  <c r="K11" i="52"/>
  <c r="I12" i="51"/>
  <c r="K11" i="51"/>
  <c r="I12" i="50"/>
  <c r="K11" i="50"/>
  <c r="I12" i="49"/>
  <c r="K11" i="49"/>
  <c r="I13" i="48"/>
  <c r="K12" i="48"/>
  <c r="I13" i="45"/>
  <c r="K12" i="45"/>
  <c r="K13" i="44"/>
  <c r="I14" i="44"/>
  <c r="K13" i="43"/>
  <c r="I14" i="43"/>
  <c r="I64" i="66" l="1"/>
  <c r="K63" i="66"/>
  <c r="I32" i="60"/>
  <c r="K31" i="60"/>
  <c r="I59" i="60"/>
  <c r="K58" i="60"/>
  <c r="K31" i="59"/>
  <c r="I32" i="59"/>
  <c r="K58" i="59"/>
  <c r="I59" i="59"/>
  <c r="I59" i="58"/>
  <c r="K58" i="58"/>
  <c r="I32" i="58"/>
  <c r="K31" i="58"/>
  <c r="K58" i="57"/>
  <c r="I32" i="57"/>
  <c r="K31" i="57"/>
  <c r="I61" i="56"/>
  <c r="K60" i="56"/>
  <c r="I32" i="56"/>
  <c r="K31" i="56"/>
  <c r="I13" i="55"/>
  <c r="K12" i="55"/>
  <c r="K12" i="52"/>
  <c r="I13" i="52"/>
  <c r="I13" i="51"/>
  <c r="K12" i="51"/>
  <c r="I13" i="50"/>
  <c r="K12" i="50"/>
  <c r="I13" i="49"/>
  <c r="K12" i="49"/>
  <c r="I41" i="48"/>
  <c r="I14" i="48"/>
  <c r="K13" i="48"/>
  <c r="K13" i="45"/>
  <c r="I14" i="45"/>
  <c r="I23" i="44"/>
  <c r="I15" i="44"/>
  <c r="K14" i="44"/>
  <c r="I15" i="43"/>
  <c r="I23" i="43"/>
  <c r="K14" i="43"/>
  <c r="G30" i="42"/>
  <c r="G28" i="42"/>
  <c r="G85" i="42" s="1"/>
  <c r="K85" i="42"/>
  <c r="G24" i="42"/>
  <c r="G23" i="42"/>
  <c r="G22" i="42"/>
  <c r="G21" i="42"/>
  <c r="G20" i="42"/>
  <c r="G19" i="42"/>
  <c r="G18" i="42"/>
  <c r="G17" i="42"/>
  <c r="G16" i="42"/>
  <c r="G15" i="42"/>
  <c r="G13" i="42"/>
  <c r="G12" i="42"/>
  <c r="G11" i="42"/>
  <c r="G4" i="42"/>
  <c r="G56" i="23"/>
  <c r="G44" i="19"/>
  <c r="G43" i="19"/>
  <c r="G55" i="23"/>
  <c r="E94" i="40"/>
  <c r="G4" i="40" s="1"/>
  <c r="K92" i="40"/>
  <c r="G94" i="40"/>
  <c r="G11" i="40"/>
  <c r="K96" i="39"/>
  <c r="G11" i="39"/>
  <c r="E98" i="38"/>
  <c r="G4" i="38" s="1"/>
  <c r="K96" i="38"/>
  <c r="G98" i="38"/>
  <c r="G11" i="38"/>
  <c r="G43" i="31"/>
  <c r="G41" i="31"/>
  <c r="G42" i="19"/>
  <c r="G38" i="19"/>
  <c r="G39" i="19"/>
  <c r="G65" i="21"/>
  <c r="G35" i="19"/>
  <c r="G42" i="31"/>
  <c r="K35" i="39" l="1"/>
  <c r="G35" i="39"/>
  <c r="G3" i="39" s="1"/>
  <c r="K64" i="66"/>
  <c r="I65" i="66"/>
  <c r="I60" i="60"/>
  <c r="K59" i="60"/>
  <c r="I33" i="60"/>
  <c r="K32" i="60"/>
  <c r="I33" i="59"/>
  <c r="K32" i="59"/>
  <c r="I60" i="59"/>
  <c r="K59" i="59"/>
  <c r="I33" i="58"/>
  <c r="K32" i="58"/>
  <c r="I60" i="58"/>
  <c r="K59" i="58"/>
  <c r="K32" i="57"/>
  <c r="I33" i="57"/>
  <c r="K59" i="57"/>
  <c r="I33" i="56"/>
  <c r="K32" i="56"/>
  <c r="K61" i="56"/>
  <c r="I62" i="56"/>
  <c r="I14" i="55"/>
  <c r="K13" i="55"/>
  <c r="I41" i="55"/>
  <c r="I41" i="52"/>
  <c r="I14" i="52"/>
  <c r="K13" i="52"/>
  <c r="I14" i="51"/>
  <c r="K13" i="51"/>
  <c r="I41" i="51"/>
  <c r="I14" i="50"/>
  <c r="K13" i="50"/>
  <c r="I25" i="50"/>
  <c r="I14" i="49"/>
  <c r="K13" i="49"/>
  <c r="K14" i="48"/>
  <c r="I15" i="48"/>
  <c r="K41" i="48"/>
  <c r="I42" i="48"/>
  <c r="I15" i="45"/>
  <c r="K14" i="45"/>
  <c r="I23" i="45"/>
  <c r="I16" i="44"/>
  <c r="K15" i="44"/>
  <c r="I27" i="44"/>
  <c r="K23" i="44"/>
  <c r="I27" i="43"/>
  <c r="K23" i="43"/>
  <c r="I16" i="43"/>
  <c r="K15" i="43"/>
  <c r="G25" i="42"/>
  <c r="G3" i="42" s="1"/>
  <c r="K25" i="42"/>
  <c r="I11" i="42"/>
  <c r="K35" i="38"/>
  <c r="G3" i="38"/>
  <c r="K31" i="40"/>
  <c r="G3" i="40"/>
  <c r="I11" i="40"/>
  <c r="I11" i="39"/>
  <c r="I11" i="38"/>
  <c r="G33" i="4"/>
  <c r="G57" i="37"/>
  <c r="G21" i="37"/>
  <c r="G20" i="37"/>
  <c r="G19" i="37"/>
  <c r="G18" i="37"/>
  <c r="G17" i="37"/>
  <c r="G13" i="37"/>
  <c r="G11" i="37"/>
  <c r="I11" i="37" s="1"/>
  <c r="G47" i="26"/>
  <c r="G73" i="31"/>
  <c r="G62" i="21"/>
  <c r="G51" i="23"/>
  <c r="G29" i="25"/>
  <c r="G28" i="25"/>
  <c r="G32" i="4"/>
  <c r="G4" i="4"/>
  <c r="K87" i="35"/>
  <c r="G87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4" i="35"/>
  <c r="G48" i="8"/>
  <c r="G37" i="19"/>
  <c r="G31" i="4"/>
  <c r="K8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G4" i="32"/>
  <c r="G47" i="8"/>
  <c r="G46" i="8"/>
  <c r="G61" i="21"/>
  <c r="G60" i="21"/>
  <c r="G50" i="23"/>
  <c r="G36" i="19"/>
  <c r="E75" i="31"/>
  <c r="G4" i="31" s="1"/>
  <c r="K73" i="31"/>
  <c r="G20" i="31"/>
  <c r="G19" i="31"/>
  <c r="G18" i="31"/>
  <c r="G17" i="31"/>
  <c r="G16" i="31"/>
  <c r="G15" i="31"/>
  <c r="G14" i="31"/>
  <c r="G13" i="31"/>
  <c r="G12" i="31"/>
  <c r="G11" i="31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I11" i="30" s="1"/>
  <c r="G4" i="30"/>
  <c r="G29" i="4"/>
  <c r="G34" i="19"/>
  <c r="G45" i="8"/>
  <c r="G57" i="21"/>
  <c r="G59" i="21"/>
  <c r="G58" i="21"/>
  <c r="G46" i="23"/>
  <c r="G33" i="19"/>
  <c r="G56" i="21"/>
  <c r="E49" i="26"/>
  <c r="G4" i="26" s="1"/>
  <c r="K47" i="26"/>
  <c r="G21" i="26"/>
  <c r="G20" i="26"/>
  <c r="G19" i="26"/>
  <c r="G18" i="26"/>
  <c r="G17" i="26"/>
  <c r="G16" i="26"/>
  <c r="G11" i="26"/>
  <c r="G27" i="25"/>
  <c r="G45" i="23"/>
  <c r="G32" i="19"/>
  <c r="G42" i="8"/>
  <c r="G41" i="8"/>
  <c r="G55" i="21"/>
  <c r="G54" i="21"/>
  <c r="G25" i="25"/>
  <c r="E70" i="25"/>
  <c r="G4" i="25" s="1"/>
  <c r="G21" i="25"/>
  <c r="G20" i="25"/>
  <c r="G19" i="25"/>
  <c r="G18" i="25"/>
  <c r="G17" i="25"/>
  <c r="G16" i="25"/>
  <c r="G15" i="25"/>
  <c r="G13" i="25"/>
  <c r="G12" i="25"/>
  <c r="G11" i="25"/>
  <c r="G53" i="21"/>
  <c r="G26" i="4"/>
  <c r="G25" i="4"/>
  <c r="G52" i="21"/>
  <c r="G51" i="21"/>
  <c r="G50" i="21"/>
  <c r="G38" i="8"/>
  <c r="G49" i="21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37" i="23"/>
  <c r="G36" i="23"/>
  <c r="G19" i="23"/>
  <c r="G18" i="23"/>
  <c r="G17" i="23"/>
  <c r="G16" i="23"/>
  <c r="G15" i="23"/>
  <c r="G14" i="23"/>
  <c r="G13" i="23"/>
  <c r="G12" i="23"/>
  <c r="G11" i="23"/>
  <c r="K102" i="21"/>
  <c r="G39" i="21"/>
  <c r="G38" i="21"/>
  <c r="G21" i="21"/>
  <c r="G20" i="21"/>
  <c r="G17" i="21"/>
  <c r="G16" i="21"/>
  <c r="G15" i="21"/>
  <c r="G13" i="21"/>
  <c r="G12" i="21"/>
  <c r="G11" i="21"/>
  <c r="I11" i="21" s="1"/>
  <c r="G22" i="26" l="1"/>
  <c r="G22" i="25"/>
  <c r="I11" i="24"/>
  <c r="G24" i="24"/>
  <c r="G3" i="24" s="1"/>
  <c r="I66" i="66"/>
  <c r="K65" i="66"/>
  <c r="G70" i="4"/>
  <c r="K33" i="60"/>
  <c r="I34" i="60"/>
  <c r="I61" i="60"/>
  <c r="K60" i="60"/>
  <c r="I61" i="59"/>
  <c r="K60" i="59"/>
  <c r="I34" i="59"/>
  <c r="K33" i="59"/>
  <c r="I61" i="58"/>
  <c r="K60" i="58"/>
  <c r="K33" i="58"/>
  <c r="I34" i="58"/>
  <c r="I61" i="57"/>
  <c r="K60" i="57"/>
  <c r="I34" i="57"/>
  <c r="K33" i="57"/>
  <c r="I63" i="56"/>
  <c r="K62" i="56"/>
  <c r="K33" i="56"/>
  <c r="I34" i="56"/>
  <c r="G119" i="8"/>
  <c r="K41" i="55"/>
  <c r="I42" i="55"/>
  <c r="K14" i="55"/>
  <c r="I15" i="55"/>
  <c r="K14" i="52"/>
  <c r="I15" i="52"/>
  <c r="K41" i="52"/>
  <c r="I42" i="52"/>
  <c r="K41" i="51"/>
  <c r="I42" i="51"/>
  <c r="I15" i="51"/>
  <c r="K14" i="51"/>
  <c r="K25" i="50"/>
  <c r="I26" i="50"/>
  <c r="I15" i="50"/>
  <c r="K14" i="50"/>
  <c r="I23" i="49"/>
  <c r="I15" i="49"/>
  <c r="K14" i="49"/>
  <c r="I43" i="48"/>
  <c r="K42" i="48"/>
  <c r="I16" i="48"/>
  <c r="K15" i="48"/>
  <c r="G102" i="21"/>
  <c r="I27" i="45"/>
  <c r="K23" i="45"/>
  <c r="I16" i="45"/>
  <c r="K15" i="45"/>
  <c r="G99" i="23"/>
  <c r="I28" i="44"/>
  <c r="K27" i="44"/>
  <c r="K16" i="44"/>
  <c r="I17" i="44"/>
  <c r="I17" i="43"/>
  <c r="K16" i="43"/>
  <c r="I28" i="43"/>
  <c r="K27" i="43"/>
  <c r="G24" i="35"/>
  <c r="G3" i="35" s="1"/>
  <c r="I12" i="37"/>
  <c r="I13" i="37" s="1"/>
  <c r="K22" i="26"/>
  <c r="G70" i="25"/>
  <c r="G3" i="25" s="1"/>
  <c r="K11" i="42"/>
  <c r="I12" i="42"/>
  <c r="K38" i="23"/>
  <c r="I12" i="40"/>
  <c r="K11" i="40"/>
  <c r="K11" i="39"/>
  <c r="I12" i="39"/>
  <c r="K11" i="38"/>
  <c r="I12" i="38"/>
  <c r="G34" i="31"/>
  <c r="K34" i="31" s="1"/>
  <c r="G40" i="21"/>
  <c r="G22" i="37"/>
  <c r="G3" i="37" s="1"/>
  <c r="K11" i="37"/>
  <c r="K22" i="37"/>
  <c r="G38" i="23"/>
  <c r="K24" i="35"/>
  <c r="I11" i="35"/>
  <c r="K24" i="32"/>
  <c r="I11" i="32"/>
  <c r="G3" i="32"/>
  <c r="I11" i="31"/>
  <c r="G3" i="30"/>
  <c r="K11" i="30"/>
  <c r="I12" i="30"/>
  <c r="K24" i="30"/>
  <c r="I11" i="26"/>
  <c r="I11" i="25"/>
  <c r="K22" i="25"/>
  <c r="I12" i="24"/>
  <c r="K11" i="24"/>
  <c r="K24" i="24"/>
  <c r="I11" i="23"/>
  <c r="K11" i="23" s="1"/>
  <c r="K40" i="21"/>
  <c r="K11" i="21"/>
  <c r="I12" i="21"/>
  <c r="G26" i="19"/>
  <c r="G25" i="19"/>
  <c r="G4" i="20"/>
  <c r="G25" i="20"/>
  <c r="G26" i="20"/>
  <c r="G33" i="20"/>
  <c r="G34" i="20"/>
  <c r="G12" i="20"/>
  <c r="G13" i="20"/>
  <c r="G24" i="20"/>
  <c r="G27" i="20"/>
  <c r="G28" i="20"/>
  <c r="G29" i="20"/>
  <c r="G30" i="20"/>
  <c r="G31" i="20"/>
  <c r="G32" i="20"/>
  <c r="G11" i="20"/>
  <c r="G83" i="19" l="1"/>
  <c r="K57" i="37"/>
  <c r="K66" i="66"/>
  <c r="I67" i="66"/>
  <c r="K34" i="60"/>
  <c r="I35" i="60"/>
  <c r="K35" i="60" s="1"/>
  <c r="K61" i="60"/>
  <c r="I62" i="60"/>
  <c r="K34" i="59"/>
  <c r="I35" i="59"/>
  <c r="K35" i="59" s="1"/>
  <c r="I62" i="59"/>
  <c r="K61" i="59"/>
  <c r="K34" i="58"/>
  <c r="I35" i="58"/>
  <c r="K35" i="58" s="1"/>
  <c r="I62" i="58"/>
  <c r="K61" i="58"/>
  <c r="K12" i="37"/>
  <c r="K34" i="57"/>
  <c r="I35" i="57"/>
  <c r="K35" i="57" s="1"/>
  <c r="K61" i="57"/>
  <c r="I62" i="57"/>
  <c r="K34" i="56"/>
  <c r="I35" i="56"/>
  <c r="K35" i="56" s="1"/>
  <c r="K63" i="56"/>
  <c r="I64" i="56"/>
  <c r="G3" i="31"/>
  <c r="I16" i="55"/>
  <c r="K15" i="55"/>
  <c r="I43" i="55"/>
  <c r="K42" i="55"/>
  <c r="I16" i="52"/>
  <c r="K15" i="52"/>
  <c r="I43" i="52"/>
  <c r="K42" i="52"/>
  <c r="I43" i="51"/>
  <c r="K42" i="51"/>
  <c r="I16" i="51"/>
  <c r="K15" i="51"/>
  <c r="I27" i="50"/>
  <c r="K26" i="50"/>
  <c r="K15" i="50"/>
  <c r="I16" i="50"/>
  <c r="K15" i="49"/>
  <c r="I16" i="49"/>
  <c r="K23" i="49"/>
  <c r="I27" i="49"/>
  <c r="K16" i="48"/>
  <c r="I17" i="48"/>
  <c r="K43" i="48"/>
  <c r="I44" i="48"/>
  <c r="G3" i="21"/>
  <c r="G3" i="23"/>
  <c r="G3" i="20"/>
  <c r="K16" i="45"/>
  <c r="I17" i="45"/>
  <c r="K27" i="45"/>
  <c r="I28" i="45"/>
  <c r="I18" i="44"/>
  <c r="K17" i="44"/>
  <c r="I29" i="44"/>
  <c r="K28" i="44"/>
  <c r="I29" i="43"/>
  <c r="K28" i="43"/>
  <c r="K17" i="43"/>
  <c r="I18" i="43"/>
  <c r="I13" i="42"/>
  <c r="I14" i="42" s="1"/>
  <c r="K14" i="42" s="1"/>
  <c r="K12" i="42"/>
  <c r="I13" i="40"/>
  <c r="K12" i="40"/>
  <c r="I13" i="39"/>
  <c r="K12" i="39"/>
  <c r="I13" i="38"/>
  <c r="K12" i="38"/>
  <c r="K13" i="37"/>
  <c r="I25" i="37"/>
  <c r="I14" i="37"/>
  <c r="I12" i="35"/>
  <c r="K11" i="35"/>
  <c r="I12" i="32"/>
  <c r="K11" i="32"/>
  <c r="K11" i="31"/>
  <c r="I12" i="31"/>
  <c r="K12" i="30"/>
  <c r="I13" i="30"/>
  <c r="I12" i="26"/>
  <c r="K11" i="26"/>
  <c r="I12" i="25"/>
  <c r="K11" i="25"/>
  <c r="I13" i="24"/>
  <c r="K12" i="24"/>
  <c r="I12" i="23"/>
  <c r="K12" i="23" s="1"/>
  <c r="K12" i="21"/>
  <c r="I13" i="21"/>
  <c r="I14" i="21" s="1"/>
  <c r="I15" i="21" s="1"/>
  <c r="I16" i="21" s="1"/>
  <c r="I17" i="21" s="1"/>
  <c r="I18" i="21" s="1"/>
  <c r="I19" i="21" s="1"/>
  <c r="I20" i="21" s="1"/>
  <c r="I21" i="21" s="1"/>
  <c r="I22" i="21" s="1"/>
  <c r="K35" i="20"/>
  <c r="I11" i="20"/>
  <c r="K11" i="20" s="1"/>
  <c r="I68" i="66" l="1"/>
  <c r="K67" i="66"/>
  <c r="I63" i="60"/>
  <c r="K62" i="60"/>
  <c r="I63" i="59"/>
  <c r="K62" i="59"/>
  <c r="I63" i="58"/>
  <c r="K62" i="58"/>
  <c r="I63" i="57"/>
  <c r="K62" i="57"/>
  <c r="I65" i="56"/>
  <c r="K64" i="56"/>
  <c r="I38" i="21"/>
  <c r="I39" i="21" s="1"/>
  <c r="I23" i="21"/>
  <c r="K43" i="55"/>
  <c r="I44" i="55"/>
  <c r="I17" i="55"/>
  <c r="K16" i="55"/>
  <c r="I44" i="52"/>
  <c r="K43" i="52"/>
  <c r="I17" i="52"/>
  <c r="K16" i="52"/>
  <c r="K16" i="51"/>
  <c r="I17" i="51"/>
  <c r="I44" i="51"/>
  <c r="K43" i="51"/>
  <c r="I17" i="50"/>
  <c r="K16" i="50"/>
  <c r="I28" i="50"/>
  <c r="K27" i="50"/>
  <c r="K27" i="49"/>
  <c r="I28" i="49"/>
  <c r="K16" i="49"/>
  <c r="I17" i="49"/>
  <c r="I45" i="48"/>
  <c r="K44" i="48"/>
  <c r="K17" i="48"/>
  <c r="I18" i="48"/>
  <c r="K28" i="45"/>
  <c r="I29" i="45"/>
  <c r="K17" i="45"/>
  <c r="I18" i="45"/>
  <c r="I30" i="44"/>
  <c r="K29" i="44"/>
  <c r="I19" i="44"/>
  <c r="K18" i="44"/>
  <c r="K18" i="43"/>
  <c r="I19" i="43"/>
  <c r="I30" i="43"/>
  <c r="K29" i="43"/>
  <c r="I15" i="42"/>
  <c r="K13" i="42"/>
  <c r="I34" i="40"/>
  <c r="I14" i="40"/>
  <c r="K13" i="40"/>
  <c r="I38" i="39"/>
  <c r="I14" i="39"/>
  <c r="K13" i="39"/>
  <c r="I14" i="38"/>
  <c r="K13" i="38"/>
  <c r="I15" i="37"/>
  <c r="K14" i="37"/>
  <c r="I26" i="37"/>
  <c r="K25" i="37"/>
  <c r="K12" i="35"/>
  <c r="I13" i="35"/>
  <c r="I13" i="32"/>
  <c r="K12" i="32"/>
  <c r="K12" i="31"/>
  <c r="I13" i="31"/>
  <c r="K13" i="30"/>
  <c r="I14" i="30"/>
  <c r="K12" i="26"/>
  <c r="I13" i="26"/>
  <c r="I14" i="26" s="1"/>
  <c r="I13" i="25"/>
  <c r="I14" i="25" s="1"/>
  <c r="K12" i="25"/>
  <c r="K13" i="24"/>
  <c r="I14" i="24"/>
  <c r="I13" i="23"/>
  <c r="K13" i="21"/>
  <c r="I12" i="20"/>
  <c r="K12" i="20" s="1"/>
  <c r="I14" i="23" l="1"/>
  <c r="K14" i="23" s="1"/>
  <c r="K13" i="23"/>
  <c r="K68" i="66"/>
  <c r="I69" i="66"/>
  <c r="K13" i="31"/>
  <c r="I14" i="31"/>
  <c r="K63" i="60"/>
  <c r="I64" i="60"/>
  <c r="K63" i="59"/>
  <c r="I64" i="59"/>
  <c r="K63" i="58"/>
  <c r="I64" i="58"/>
  <c r="K63" i="57"/>
  <c r="I64" i="57"/>
  <c r="K65" i="56"/>
  <c r="I66" i="56"/>
  <c r="K23" i="21"/>
  <c r="I24" i="21"/>
  <c r="K17" i="55"/>
  <c r="I18" i="55"/>
  <c r="I45" i="55"/>
  <c r="K44" i="55"/>
  <c r="K17" i="52"/>
  <c r="I18" i="52"/>
  <c r="I45" i="52"/>
  <c r="K44" i="52"/>
  <c r="K44" i="51"/>
  <c r="I45" i="51"/>
  <c r="K17" i="51"/>
  <c r="I18" i="51"/>
  <c r="K28" i="50"/>
  <c r="I29" i="50"/>
  <c r="I18" i="50"/>
  <c r="K17" i="50"/>
  <c r="I18" i="49"/>
  <c r="K17" i="49"/>
  <c r="I29" i="49"/>
  <c r="K28" i="49"/>
  <c r="K18" i="48"/>
  <c r="I19" i="48"/>
  <c r="I46" i="48"/>
  <c r="K45" i="48"/>
  <c r="I19" i="45"/>
  <c r="K18" i="45"/>
  <c r="I30" i="45"/>
  <c r="K29" i="45"/>
  <c r="I15" i="23"/>
  <c r="K15" i="23" s="1"/>
  <c r="I20" i="44"/>
  <c r="K19" i="44"/>
  <c r="I31" i="44"/>
  <c r="K30" i="44"/>
  <c r="K30" i="43"/>
  <c r="I31" i="43"/>
  <c r="I20" i="43"/>
  <c r="K19" i="43"/>
  <c r="I15" i="26"/>
  <c r="K14" i="26"/>
  <c r="I15" i="25"/>
  <c r="K14" i="25"/>
  <c r="K15" i="42"/>
  <c r="I24" i="42"/>
  <c r="I16" i="42"/>
  <c r="K14" i="40"/>
  <c r="I15" i="40"/>
  <c r="K34" i="40"/>
  <c r="I35" i="40"/>
  <c r="K14" i="39"/>
  <c r="I15" i="39"/>
  <c r="I39" i="39"/>
  <c r="K38" i="39"/>
  <c r="K14" i="38"/>
  <c r="I15" i="38"/>
  <c r="I27" i="37"/>
  <c r="K26" i="37"/>
  <c r="I16" i="37"/>
  <c r="K15" i="37"/>
  <c r="I14" i="35"/>
  <c r="K13" i="35"/>
  <c r="I14" i="32"/>
  <c r="K13" i="32"/>
  <c r="I37" i="31"/>
  <c r="K14" i="30"/>
  <c r="I23" i="30"/>
  <c r="I15" i="30"/>
  <c r="I25" i="26"/>
  <c r="K13" i="26"/>
  <c r="K13" i="25"/>
  <c r="I25" i="25"/>
  <c r="I15" i="24"/>
  <c r="K14" i="24"/>
  <c r="I41" i="23"/>
  <c r="K15" i="21"/>
  <c r="I13" i="20"/>
  <c r="K13" i="20" s="1"/>
  <c r="K69" i="66" l="1"/>
  <c r="I70" i="66"/>
  <c r="I15" i="31"/>
  <c r="K14" i="31"/>
  <c r="K64" i="60"/>
  <c r="I65" i="60"/>
  <c r="I65" i="59"/>
  <c r="K64" i="59"/>
  <c r="I65" i="58"/>
  <c r="K64" i="58"/>
  <c r="I65" i="57"/>
  <c r="K64" i="57"/>
  <c r="I67" i="56"/>
  <c r="K66" i="56"/>
  <c r="I25" i="21"/>
  <c r="K24" i="21"/>
  <c r="I19" i="55"/>
  <c r="K18" i="55"/>
  <c r="K45" i="55"/>
  <c r="I46" i="55"/>
  <c r="K45" i="52"/>
  <c r="I46" i="52"/>
  <c r="K18" i="52"/>
  <c r="I19" i="52"/>
  <c r="K18" i="51"/>
  <c r="I19" i="51"/>
  <c r="K45" i="51"/>
  <c r="I46" i="51"/>
  <c r="K18" i="50"/>
  <c r="I19" i="50"/>
  <c r="K29" i="50"/>
  <c r="I30" i="50"/>
  <c r="I30" i="49"/>
  <c r="K29" i="49"/>
  <c r="K18" i="49"/>
  <c r="I19" i="49"/>
  <c r="K46" i="48"/>
  <c r="I47" i="48"/>
  <c r="I36" i="48"/>
  <c r="I20" i="48"/>
  <c r="K19" i="48"/>
  <c r="I31" i="45"/>
  <c r="K30" i="45"/>
  <c r="K19" i="45"/>
  <c r="I20" i="45"/>
  <c r="I16" i="23"/>
  <c r="K16" i="23" s="1"/>
  <c r="I32" i="44"/>
  <c r="K31" i="44"/>
  <c r="I21" i="44"/>
  <c r="K20" i="44"/>
  <c r="K20" i="43"/>
  <c r="I21" i="43"/>
  <c r="I32" i="43"/>
  <c r="K31" i="43"/>
  <c r="I16" i="26"/>
  <c r="K15" i="26"/>
  <c r="I16" i="25"/>
  <c r="K15" i="25"/>
  <c r="K16" i="42"/>
  <c r="I17" i="42"/>
  <c r="I28" i="42"/>
  <c r="K24" i="42"/>
  <c r="K15" i="40"/>
  <c r="I16" i="40"/>
  <c r="I36" i="40"/>
  <c r="K35" i="40"/>
  <c r="K39" i="39"/>
  <c r="I40" i="39"/>
  <c r="I16" i="39"/>
  <c r="K15" i="39"/>
  <c r="I16" i="38"/>
  <c r="K15" i="38"/>
  <c r="K16" i="37"/>
  <c r="I17" i="37"/>
  <c r="I28" i="37"/>
  <c r="K27" i="37"/>
  <c r="I23" i="35"/>
  <c r="I15" i="35"/>
  <c r="K14" i="35"/>
  <c r="I23" i="32"/>
  <c r="K14" i="32"/>
  <c r="I15" i="32"/>
  <c r="K37" i="31"/>
  <c r="I38" i="31"/>
  <c r="I16" i="30"/>
  <c r="K16" i="30" s="1"/>
  <c r="K15" i="30"/>
  <c r="I27" i="30"/>
  <c r="K23" i="30"/>
  <c r="K25" i="26"/>
  <c r="I26" i="26"/>
  <c r="K25" i="25"/>
  <c r="I26" i="25"/>
  <c r="I16" i="24"/>
  <c r="K15" i="24"/>
  <c r="K41" i="23"/>
  <c r="I42" i="23"/>
  <c r="K16" i="21"/>
  <c r="I14" i="20"/>
  <c r="K14" i="20" s="1"/>
  <c r="I71" i="66" l="1"/>
  <c r="K70" i="66"/>
  <c r="I16" i="31"/>
  <c r="K15" i="31"/>
  <c r="I66" i="60"/>
  <c r="K65" i="60"/>
  <c r="K65" i="59"/>
  <c r="I66" i="59"/>
  <c r="I66" i="58"/>
  <c r="K65" i="58"/>
  <c r="I66" i="57"/>
  <c r="K65" i="57"/>
  <c r="I68" i="56"/>
  <c r="K67" i="56"/>
  <c r="K25" i="21"/>
  <c r="I26" i="21"/>
  <c r="I47" i="55"/>
  <c r="K46" i="55"/>
  <c r="I36" i="55"/>
  <c r="I20" i="55"/>
  <c r="K19" i="55"/>
  <c r="I36" i="52"/>
  <c r="I20" i="52"/>
  <c r="K19" i="52"/>
  <c r="I47" i="52"/>
  <c r="K46" i="52"/>
  <c r="K46" i="51"/>
  <c r="I47" i="51"/>
  <c r="I36" i="51"/>
  <c r="I20" i="51"/>
  <c r="K19" i="51"/>
  <c r="I20" i="50"/>
  <c r="K19" i="50"/>
  <c r="I31" i="50"/>
  <c r="K30" i="50"/>
  <c r="I20" i="49"/>
  <c r="K19" i="49"/>
  <c r="I31" i="49"/>
  <c r="K30" i="49"/>
  <c r="I21" i="48"/>
  <c r="K20" i="48"/>
  <c r="I37" i="48"/>
  <c r="K37" i="48" s="1"/>
  <c r="K36" i="48"/>
  <c r="I48" i="48"/>
  <c r="K47" i="48"/>
  <c r="I21" i="45"/>
  <c r="K20" i="45"/>
  <c r="I32" i="45"/>
  <c r="K31" i="45"/>
  <c r="I17" i="23"/>
  <c r="K17" i="23" s="1"/>
  <c r="K21" i="44"/>
  <c r="I22" i="44"/>
  <c r="K22" i="44" s="1"/>
  <c r="I33" i="44"/>
  <c r="K32" i="44"/>
  <c r="I33" i="43"/>
  <c r="K32" i="43"/>
  <c r="K21" i="43"/>
  <c r="I22" i="43"/>
  <c r="K22" i="43" s="1"/>
  <c r="I17" i="26"/>
  <c r="K16" i="26"/>
  <c r="I17" i="25"/>
  <c r="K16" i="25"/>
  <c r="I18" i="42"/>
  <c r="K17" i="42"/>
  <c r="I29" i="42"/>
  <c r="K28" i="42"/>
  <c r="I37" i="40"/>
  <c r="K36" i="40"/>
  <c r="I17" i="40"/>
  <c r="K16" i="40"/>
  <c r="I17" i="39"/>
  <c r="K16" i="39"/>
  <c r="I41" i="39"/>
  <c r="K40" i="39"/>
  <c r="I17" i="38"/>
  <c r="K16" i="38"/>
  <c r="I29" i="37"/>
  <c r="K28" i="37"/>
  <c r="I18" i="37"/>
  <c r="K17" i="37"/>
  <c r="I16" i="35"/>
  <c r="K15" i="35"/>
  <c r="I27" i="35"/>
  <c r="K23" i="35"/>
  <c r="K15" i="32"/>
  <c r="I16" i="32"/>
  <c r="K23" i="32"/>
  <c r="I27" i="32"/>
  <c r="I39" i="31"/>
  <c r="K38" i="31"/>
  <c r="I28" i="30"/>
  <c r="K27" i="30"/>
  <c r="I17" i="30"/>
  <c r="I27" i="26"/>
  <c r="K26" i="26"/>
  <c r="I27" i="25"/>
  <c r="K26" i="25"/>
  <c r="K16" i="24"/>
  <c r="I17" i="24"/>
  <c r="I43" i="23"/>
  <c r="K42" i="23"/>
  <c r="K17" i="21"/>
  <c r="I15" i="20"/>
  <c r="K15" i="20" s="1"/>
  <c r="K71" i="66" l="1"/>
  <c r="I72" i="66"/>
  <c r="I17" i="31"/>
  <c r="K16" i="31"/>
  <c r="I67" i="60"/>
  <c r="K66" i="60"/>
  <c r="I67" i="59"/>
  <c r="K66" i="59"/>
  <c r="I67" i="58"/>
  <c r="K66" i="58"/>
  <c r="I67" i="57"/>
  <c r="K66" i="57"/>
  <c r="K68" i="56"/>
  <c r="I69" i="56"/>
  <c r="I27" i="21"/>
  <c r="K26" i="21"/>
  <c r="I21" i="55"/>
  <c r="K20" i="55"/>
  <c r="I37" i="55"/>
  <c r="K37" i="55" s="1"/>
  <c r="K36" i="55"/>
  <c r="I48" i="55"/>
  <c r="K47" i="55"/>
  <c r="I48" i="52"/>
  <c r="K47" i="52"/>
  <c r="K20" i="52"/>
  <c r="I21" i="52"/>
  <c r="I37" i="52"/>
  <c r="K37" i="52" s="1"/>
  <c r="K36" i="52"/>
  <c r="I21" i="51"/>
  <c r="K20" i="51"/>
  <c r="I37" i="51"/>
  <c r="K37" i="51" s="1"/>
  <c r="K36" i="51"/>
  <c r="I48" i="51"/>
  <c r="K47" i="51"/>
  <c r="I32" i="50"/>
  <c r="K31" i="50"/>
  <c r="I21" i="50"/>
  <c r="K21" i="50" s="1"/>
  <c r="K20" i="50"/>
  <c r="K31" i="49"/>
  <c r="I32" i="49"/>
  <c r="I21" i="49"/>
  <c r="K20" i="49"/>
  <c r="I49" i="48"/>
  <c r="K48" i="48"/>
  <c r="I22" i="48"/>
  <c r="K21" i="48"/>
  <c r="K32" i="45"/>
  <c r="I33" i="45"/>
  <c r="K21" i="45"/>
  <c r="I22" i="45"/>
  <c r="K22" i="45" s="1"/>
  <c r="I18" i="23"/>
  <c r="K18" i="23" s="1"/>
  <c r="I34" i="44"/>
  <c r="K33" i="44"/>
  <c r="I34" i="43"/>
  <c r="K33" i="43"/>
  <c r="I18" i="26"/>
  <c r="K17" i="26"/>
  <c r="I18" i="25"/>
  <c r="K17" i="25"/>
  <c r="I30" i="42"/>
  <c r="K29" i="42"/>
  <c r="I19" i="42"/>
  <c r="K18" i="42"/>
  <c r="I18" i="40"/>
  <c r="K17" i="40"/>
  <c r="K37" i="40"/>
  <c r="I38" i="40"/>
  <c r="K41" i="39"/>
  <c r="I42" i="39"/>
  <c r="I18" i="39"/>
  <c r="K17" i="39"/>
  <c r="I18" i="38"/>
  <c r="K17" i="38"/>
  <c r="I19" i="37"/>
  <c r="K18" i="37"/>
  <c r="I30" i="37"/>
  <c r="K29" i="37"/>
  <c r="I28" i="35"/>
  <c r="K27" i="35"/>
  <c r="I17" i="35"/>
  <c r="K16" i="35"/>
  <c r="I28" i="32"/>
  <c r="K27" i="32"/>
  <c r="I17" i="32"/>
  <c r="K16" i="32"/>
  <c r="I40" i="31"/>
  <c r="K39" i="31"/>
  <c r="I18" i="30"/>
  <c r="K17" i="30"/>
  <c r="K28" i="30"/>
  <c r="I29" i="30"/>
  <c r="I28" i="26"/>
  <c r="K27" i="26"/>
  <c r="I28" i="25"/>
  <c r="K27" i="25"/>
  <c r="I18" i="24"/>
  <c r="K17" i="24"/>
  <c r="K43" i="23"/>
  <c r="I44" i="23"/>
  <c r="K18" i="21"/>
  <c r="I16" i="20"/>
  <c r="K16" i="20" s="1"/>
  <c r="I73" i="66" l="1"/>
  <c r="K72" i="66"/>
  <c r="K17" i="31"/>
  <c r="I18" i="31"/>
  <c r="I68" i="60"/>
  <c r="K67" i="60"/>
  <c r="K67" i="59"/>
  <c r="I68" i="59"/>
  <c r="I68" i="58"/>
  <c r="K67" i="58"/>
  <c r="I68" i="57"/>
  <c r="K67" i="57"/>
  <c r="I70" i="56"/>
  <c r="K69" i="56"/>
  <c r="I28" i="21"/>
  <c r="K27" i="21"/>
  <c r="I49" i="55"/>
  <c r="K48" i="55"/>
  <c r="K21" i="55"/>
  <c r="I22" i="55"/>
  <c r="K21" i="52"/>
  <c r="I22" i="52"/>
  <c r="I49" i="52"/>
  <c r="K48" i="52"/>
  <c r="K48" i="51"/>
  <c r="I49" i="51"/>
  <c r="I22" i="51"/>
  <c r="K21" i="51"/>
  <c r="K32" i="50"/>
  <c r="I43" i="50"/>
  <c r="K43" i="50" s="1"/>
  <c r="I33" i="50"/>
  <c r="K21" i="49"/>
  <c r="I22" i="49"/>
  <c r="K22" i="49" s="1"/>
  <c r="I33" i="49"/>
  <c r="K32" i="49"/>
  <c r="I23" i="48"/>
  <c r="K22" i="48"/>
  <c r="I50" i="48"/>
  <c r="K49" i="48"/>
  <c r="I34" i="45"/>
  <c r="K33" i="45"/>
  <c r="I19" i="23"/>
  <c r="I35" i="44"/>
  <c r="K34" i="44"/>
  <c r="K34" i="43"/>
  <c r="I35" i="43"/>
  <c r="I19" i="26"/>
  <c r="K18" i="26"/>
  <c r="I19" i="25"/>
  <c r="K18" i="25"/>
  <c r="I20" i="42"/>
  <c r="K19" i="42"/>
  <c r="I31" i="42"/>
  <c r="K30" i="42"/>
  <c r="K38" i="40"/>
  <c r="I39" i="40"/>
  <c r="K18" i="40"/>
  <c r="I19" i="40"/>
  <c r="I19" i="39"/>
  <c r="K18" i="39"/>
  <c r="I43" i="39"/>
  <c r="K42" i="39"/>
  <c r="K18" i="38"/>
  <c r="I19" i="38"/>
  <c r="I31" i="37"/>
  <c r="K30" i="37"/>
  <c r="I20" i="37"/>
  <c r="K19" i="37"/>
  <c r="K17" i="35"/>
  <c r="I18" i="35"/>
  <c r="K28" i="35"/>
  <c r="I29" i="35"/>
  <c r="I18" i="32"/>
  <c r="K17" i="32"/>
  <c r="I29" i="32"/>
  <c r="K28" i="32"/>
  <c r="I41" i="31"/>
  <c r="K40" i="31"/>
  <c r="K29" i="30"/>
  <c r="I30" i="30"/>
  <c r="I19" i="30"/>
  <c r="K18" i="30"/>
  <c r="I29" i="26"/>
  <c r="K28" i="26"/>
  <c r="I29" i="25"/>
  <c r="K28" i="25"/>
  <c r="I19" i="24"/>
  <c r="K18" i="24"/>
  <c r="I45" i="23"/>
  <c r="K44" i="23"/>
  <c r="K19" i="21"/>
  <c r="I17" i="20"/>
  <c r="K17" i="20" s="1"/>
  <c r="I20" i="23" l="1"/>
  <c r="K20" i="23" s="1"/>
  <c r="K19" i="23"/>
  <c r="K73" i="66"/>
  <c r="I74" i="66"/>
  <c r="K18" i="31"/>
  <c r="I19" i="31"/>
  <c r="I69" i="60"/>
  <c r="K68" i="60"/>
  <c r="K68" i="59"/>
  <c r="I69" i="59"/>
  <c r="I69" i="58"/>
  <c r="K68" i="58"/>
  <c r="K68" i="57"/>
  <c r="I69" i="57"/>
  <c r="K70" i="56"/>
  <c r="I71" i="56"/>
  <c r="K28" i="21"/>
  <c r="I29" i="21"/>
  <c r="K22" i="55"/>
  <c r="I23" i="55"/>
  <c r="K49" i="55"/>
  <c r="I50" i="55"/>
  <c r="K22" i="52"/>
  <c r="I23" i="52"/>
  <c r="K49" i="52"/>
  <c r="I50" i="52"/>
  <c r="I23" i="51"/>
  <c r="K22" i="51"/>
  <c r="K49" i="51"/>
  <c r="I50" i="51"/>
  <c r="I21" i="23"/>
  <c r="K21" i="23" s="1"/>
  <c r="I44" i="50"/>
  <c r="K44" i="50" s="1"/>
  <c r="K33" i="50"/>
  <c r="I34" i="50"/>
  <c r="I34" i="49"/>
  <c r="K33" i="49"/>
  <c r="K50" i="48"/>
  <c r="I51" i="48"/>
  <c r="K23" i="48"/>
  <c r="I24" i="48"/>
  <c r="I35" i="45"/>
  <c r="K34" i="45"/>
  <c r="I36" i="23"/>
  <c r="I36" i="44"/>
  <c r="K35" i="44"/>
  <c r="I36" i="43"/>
  <c r="K35" i="43"/>
  <c r="I20" i="26"/>
  <c r="K19" i="26"/>
  <c r="I20" i="25"/>
  <c r="K19" i="25"/>
  <c r="I32" i="42"/>
  <c r="K31" i="42"/>
  <c r="K20" i="42"/>
  <c r="I21" i="42"/>
  <c r="K19" i="40"/>
  <c r="I20" i="40"/>
  <c r="K39" i="40"/>
  <c r="I40" i="40"/>
  <c r="I44" i="39"/>
  <c r="K43" i="39"/>
  <c r="K19" i="39"/>
  <c r="I20" i="39"/>
  <c r="K19" i="38"/>
  <c r="I20" i="38"/>
  <c r="I21" i="37"/>
  <c r="K21" i="37" s="1"/>
  <c r="K20" i="37"/>
  <c r="I32" i="37"/>
  <c r="K31" i="37"/>
  <c r="I19" i="35"/>
  <c r="K18" i="35"/>
  <c r="I30" i="35"/>
  <c r="K29" i="35"/>
  <c r="I30" i="32"/>
  <c r="K29" i="32"/>
  <c r="K18" i="32"/>
  <c r="I19" i="32"/>
  <c r="I42" i="31"/>
  <c r="K41" i="31"/>
  <c r="I20" i="30"/>
  <c r="K19" i="30"/>
  <c r="I31" i="30"/>
  <c r="K30" i="30"/>
  <c r="I30" i="26"/>
  <c r="K29" i="26"/>
  <c r="I30" i="25"/>
  <c r="K29" i="25"/>
  <c r="I20" i="24"/>
  <c r="K19" i="24"/>
  <c r="I46" i="23"/>
  <c r="K45" i="23"/>
  <c r="K20" i="21"/>
  <c r="I18" i="20"/>
  <c r="K18" i="20" s="1"/>
  <c r="I75" i="66" l="1"/>
  <c r="K74" i="66"/>
  <c r="K19" i="31"/>
  <c r="I20" i="31"/>
  <c r="I21" i="31" s="1"/>
  <c r="I70" i="60"/>
  <c r="K69" i="60"/>
  <c r="I70" i="59"/>
  <c r="K69" i="59"/>
  <c r="I70" i="58"/>
  <c r="K69" i="58"/>
  <c r="I70" i="57"/>
  <c r="K69" i="57"/>
  <c r="I72" i="56"/>
  <c r="K71" i="56"/>
  <c r="K29" i="21"/>
  <c r="I30" i="21"/>
  <c r="I51" i="55"/>
  <c r="K50" i="55"/>
  <c r="K23" i="55"/>
  <c r="I24" i="55"/>
  <c r="I24" i="52"/>
  <c r="K23" i="52"/>
  <c r="I51" i="52"/>
  <c r="K50" i="52"/>
  <c r="K50" i="51"/>
  <c r="I51" i="51"/>
  <c r="I24" i="51"/>
  <c r="K23" i="51"/>
  <c r="I22" i="23"/>
  <c r="K22" i="23" s="1"/>
  <c r="I35" i="50"/>
  <c r="K34" i="50"/>
  <c r="I45" i="50"/>
  <c r="K45" i="50" s="1"/>
  <c r="I35" i="49"/>
  <c r="K34" i="49"/>
  <c r="I25" i="48"/>
  <c r="K24" i="48"/>
  <c r="K51" i="48"/>
  <c r="I52" i="48"/>
  <c r="K35" i="45"/>
  <c r="I36" i="45"/>
  <c r="I37" i="23"/>
  <c r="K37" i="23" s="1"/>
  <c r="K36" i="23"/>
  <c r="I37" i="44"/>
  <c r="K36" i="44"/>
  <c r="K36" i="43"/>
  <c r="I37" i="43"/>
  <c r="I21" i="26"/>
  <c r="K21" i="26" s="1"/>
  <c r="K20" i="26"/>
  <c r="I21" i="25"/>
  <c r="K21" i="25" s="1"/>
  <c r="K20" i="25"/>
  <c r="I22" i="42"/>
  <c r="K21" i="42"/>
  <c r="I33" i="42"/>
  <c r="K32" i="42"/>
  <c r="I41" i="40"/>
  <c r="K40" i="40"/>
  <c r="I21" i="40"/>
  <c r="K20" i="40"/>
  <c r="K20" i="39"/>
  <c r="I21" i="39"/>
  <c r="I45" i="39"/>
  <c r="K44" i="39"/>
  <c r="K20" i="38"/>
  <c r="I43" i="37"/>
  <c r="I33" i="37"/>
  <c r="K32" i="37"/>
  <c r="I20" i="35"/>
  <c r="K19" i="35"/>
  <c r="K30" i="35"/>
  <c r="I31" i="35"/>
  <c r="I20" i="32"/>
  <c r="K19" i="32"/>
  <c r="K30" i="32"/>
  <c r="I31" i="32"/>
  <c r="I43" i="31"/>
  <c r="K42" i="31"/>
  <c r="I32" i="30"/>
  <c r="K31" i="30"/>
  <c r="I21" i="30"/>
  <c r="K20" i="30"/>
  <c r="I31" i="26"/>
  <c r="K30" i="26"/>
  <c r="K30" i="25"/>
  <c r="I31" i="25"/>
  <c r="I21" i="24"/>
  <c r="K20" i="24"/>
  <c r="I47" i="23"/>
  <c r="I48" i="23" s="1"/>
  <c r="K48" i="23" s="1"/>
  <c r="K46" i="23"/>
  <c r="K21" i="21"/>
  <c r="I19" i="20"/>
  <c r="K19" i="20" s="1"/>
  <c r="K21" i="39" l="1"/>
  <c r="I22" i="39"/>
  <c r="K21" i="40"/>
  <c r="I22" i="40"/>
  <c r="K43" i="37"/>
  <c r="I54" i="37"/>
  <c r="K54" i="37" s="1"/>
  <c r="K75" i="66"/>
  <c r="I76" i="66"/>
  <c r="I22" i="31"/>
  <c r="K21" i="31"/>
  <c r="K20" i="31"/>
  <c r="I33" i="31"/>
  <c r="K33" i="31" s="1"/>
  <c r="K70" i="60"/>
  <c r="I71" i="60"/>
  <c r="K70" i="59"/>
  <c r="I71" i="59"/>
  <c r="K70" i="58"/>
  <c r="I71" i="58"/>
  <c r="K70" i="57"/>
  <c r="I71" i="57"/>
  <c r="K72" i="56"/>
  <c r="I73" i="56"/>
  <c r="I31" i="21"/>
  <c r="K30" i="21"/>
  <c r="K24" i="55"/>
  <c r="I25" i="55"/>
  <c r="K51" i="55"/>
  <c r="I52" i="55"/>
  <c r="I52" i="52"/>
  <c r="K51" i="52"/>
  <c r="I25" i="52"/>
  <c r="K24" i="52"/>
  <c r="I52" i="51"/>
  <c r="K51" i="51"/>
  <c r="K24" i="51"/>
  <c r="I25" i="51"/>
  <c r="I38" i="38"/>
  <c r="I23" i="23"/>
  <c r="I36" i="50"/>
  <c r="K35" i="50"/>
  <c r="I46" i="50"/>
  <c r="K46" i="50" s="1"/>
  <c r="I36" i="49"/>
  <c r="K35" i="49"/>
  <c r="I53" i="48"/>
  <c r="K52" i="48"/>
  <c r="I26" i="48"/>
  <c r="K25" i="48"/>
  <c r="K36" i="45"/>
  <c r="I37" i="45"/>
  <c r="I38" i="44"/>
  <c r="K37" i="44"/>
  <c r="I38" i="43"/>
  <c r="K37" i="43"/>
  <c r="I34" i="42"/>
  <c r="K33" i="42"/>
  <c r="I23" i="42"/>
  <c r="K23" i="42" s="1"/>
  <c r="K22" i="42"/>
  <c r="I42" i="40"/>
  <c r="K41" i="40"/>
  <c r="I46" i="39"/>
  <c r="K45" i="39"/>
  <c r="I44" i="37"/>
  <c r="I34" i="37"/>
  <c r="K33" i="37"/>
  <c r="I32" i="35"/>
  <c r="K31" i="35"/>
  <c r="K20" i="35"/>
  <c r="I21" i="35"/>
  <c r="I32" i="32"/>
  <c r="K31" i="32"/>
  <c r="I21" i="32"/>
  <c r="K20" i="32"/>
  <c r="I44" i="31"/>
  <c r="K43" i="31"/>
  <c r="I22" i="30"/>
  <c r="K22" i="30" s="1"/>
  <c r="K21" i="30"/>
  <c r="K32" i="30"/>
  <c r="I33" i="30"/>
  <c r="K31" i="26"/>
  <c r="I32" i="26"/>
  <c r="I32" i="25"/>
  <c r="K31" i="25"/>
  <c r="K21" i="24"/>
  <c r="I22" i="24"/>
  <c r="K47" i="23"/>
  <c r="K22" i="21"/>
  <c r="I20" i="20"/>
  <c r="I23" i="40" l="1"/>
  <c r="K22" i="40"/>
  <c r="I23" i="39"/>
  <c r="K22" i="39"/>
  <c r="K22" i="24"/>
  <c r="I23" i="24"/>
  <c r="K44" i="37"/>
  <c r="I55" i="37"/>
  <c r="K55" i="37" s="1"/>
  <c r="K76" i="66"/>
  <c r="I77" i="66"/>
  <c r="K77" i="66" s="1"/>
  <c r="I23" i="31"/>
  <c r="K22" i="31"/>
  <c r="K71" i="60"/>
  <c r="I72" i="60"/>
  <c r="I72" i="59"/>
  <c r="K71" i="59"/>
  <c r="I72" i="58"/>
  <c r="K71" i="58"/>
  <c r="K71" i="57"/>
  <c r="I72" i="57"/>
  <c r="K73" i="56"/>
  <c r="I74" i="56"/>
  <c r="I32" i="21"/>
  <c r="K31" i="21"/>
  <c r="K25" i="55"/>
  <c r="I26" i="55"/>
  <c r="I53" i="55"/>
  <c r="K52" i="55"/>
  <c r="K25" i="52"/>
  <c r="I26" i="52"/>
  <c r="I53" i="52"/>
  <c r="K52" i="52"/>
  <c r="K25" i="51"/>
  <c r="I26" i="51"/>
  <c r="K52" i="51"/>
  <c r="I53" i="51"/>
  <c r="K38" i="38"/>
  <c r="I39" i="38"/>
  <c r="I24" i="23"/>
  <c r="K23" i="23"/>
  <c r="I37" i="50"/>
  <c r="K36" i="50"/>
  <c r="I37" i="49"/>
  <c r="K36" i="49"/>
  <c r="K26" i="48"/>
  <c r="I27" i="48"/>
  <c r="K53" i="48"/>
  <c r="I54" i="48"/>
  <c r="K38" i="21"/>
  <c r="I38" i="45"/>
  <c r="K37" i="45"/>
  <c r="I39" i="44"/>
  <c r="K38" i="44"/>
  <c r="K38" i="43"/>
  <c r="I39" i="43"/>
  <c r="I35" i="42"/>
  <c r="K34" i="42"/>
  <c r="K42" i="40"/>
  <c r="I43" i="40"/>
  <c r="K46" i="39"/>
  <c r="I47" i="39"/>
  <c r="I35" i="37"/>
  <c r="I46" i="37" s="1"/>
  <c r="K46" i="37" s="1"/>
  <c r="K34" i="37"/>
  <c r="I45" i="37"/>
  <c r="K45" i="37" s="1"/>
  <c r="I22" i="35"/>
  <c r="K22" i="35" s="1"/>
  <c r="K21" i="35"/>
  <c r="K32" i="35"/>
  <c r="I33" i="35"/>
  <c r="I22" i="32"/>
  <c r="K22" i="32" s="1"/>
  <c r="K21" i="32"/>
  <c r="I33" i="32"/>
  <c r="K32" i="32"/>
  <c r="I45" i="31"/>
  <c r="K44" i="31"/>
  <c r="K33" i="30"/>
  <c r="I34" i="30"/>
  <c r="I33" i="26"/>
  <c r="I44" i="26" s="1"/>
  <c r="K44" i="26" s="1"/>
  <c r="K32" i="26"/>
  <c r="I43" i="26"/>
  <c r="K43" i="26" s="1"/>
  <c r="I33" i="25"/>
  <c r="K32" i="25"/>
  <c r="I43" i="25"/>
  <c r="I49" i="23"/>
  <c r="I50" i="23" s="1"/>
  <c r="I21" i="20"/>
  <c r="K21" i="20" s="1"/>
  <c r="K20" i="20"/>
  <c r="K43" i="25" l="1"/>
  <c r="I54" i="25"/>
  <c r="K54" i="25" s="1"/>
  <c r="I65" i="25"/>
  <c r="K65" i="25" s="1"/>
  <c r="I44" i="25"/>
  <c r="I24" i="39"/>
  <c r="K23" i="39"/>
  <c r="I24" i="40"/>
  <c r="K23" i="40"/>
  <c r="I27" i="24"/>
  <c r="K23" i="24"/>
  <c r="I24" i="31"/>
  <c r="K23" i="31"/>
  <c r="I73" i="60"/>
  <c r="K72" i="60"/>
  <c r="K72" i="59"/>
  <c r="I73" i="59"/>
  <c r="I73" i="58"/>
  <c r="K72" i="58"/>
  <c r="I73" i="57"/>
  <c r="K72" i="57"/>
  <c r="I75" i="56"/>
  <c r="K74" i="56"/>
  <c r="K32" i="21"/>
  <c r="I33" i="21"/>
  <c r="K53" i="55"/>
  <c r="I54" i="55"/>
  <c r="I27" i="55"/>
  <c r="K26" i="55"/>
  <c r="K53" i="52"/>
  <c r="I54" i="52"/>
  <c r="K26" i="52"/>
  <c r="I27" i="52"/>
  <c r="K53" i="51"/>
  <c r="I54" i="51"/>
  <c r="I27" i="51"/>
  <c r="K26" i="51"/>
  <c r="I40" i="38"/>
  <c r="K39" i="38"/>
  <c r="I25" i="23"/>
  <c r="K24" i="23"/>
  <c r="I38" i="50"/>
  <c r="K37" i="50"/>
  <c r="K37" i="49"/>
  <c r="I38" i="49"/>
  <c r="K54" i="48"/>
  <c r="I55" i="48"/>
  <c r="I28" i="48"/>
  <c r="K27" i="48"/>
  <c r="I43" i="21"/>
  <c r="K39" i="21"/>
  <c r="I39" i="45"/>
  <c r="K38" i="45"/>
  <c r="I40" i="44"/>
  <c r="K39" i="44"/>
  <c r="I40" i="43"/>
  <c r="K39" i="43"/>
  <c r="K35" i="42"/>
  <c r="I36" i="42"/>
  <c r="K43" i="40"/>
  <c r="I44" i="40"/>
  <c r="K47" i="39"/>
  <c r="I48" i="39"/>
  <c r="I36" i="37"/>
  <c r="I47" i="37" s="1"/>
  <c r="K47" i="37" s="1"/>
  <c r="K35" i="37"/>
  <c r="I56" i="37"/>
  <c r="K56" i="37" s="1"/>
  <c r="I34" i="35"/>
  <c r="K33" i="35"/>
  <c r="K33" i="32"/>
  <c r="I34" i="32"/>
  <c r="I46" i="31"/>
  <c r="K45" i="31"/>
  <c r="I35" i="30"/>
  <c r="K34" i="30"/>
  <c r="K49" i="23"/>
  <c r="K33" i="26"/>
  <c r="I34" i="26"/>
  <c r="I45" i="26" s="1"/>
  <c r="K45" i="26" s="1"/>
  <c r="I34" i="25"/>
  <c r="K33" i="25"/>
  <c r="I22" i="20"/>
  <c r="K22" i="20" s="1"/>
  <c r="I25" i="40" l="1"/>
  <c r="K24" i="40"/>
  <c r="I66" i="25"/>
  <c r="K66" i="25" s="1"/>
  <c r="I45" i="25"/>
  <c r="I25" i="39"/>
  <c r="K24" i="39"/>
  <c r="K44" i="25"/>
  <c r="I55" i="25"/>
  <c r="K55" i="25" s="1"/>
  <c r="I25" i="31"/>
  <c r="K24" i="31"/>
  <c r="I74" i="60"/>
  <c r="K73" i="60"/>
  <c r="I74" i="59"/>
  <c r="K73" i="59"/>
  <c r="I74" i="58"/>
  <c r="K73" i="58"/>
  <c r="K73" i="57"/>
  <c r="I74" i="57"/>
  <c r="I76" i="56"/>
  <c r="K75" i="56"/>
  <c r="K33" i="21"/>
  <c r="I34" i="21"/>
  <c r="I55" i="55"/>
  <c r="K54" i="55"/>
  <c r="I28" i="55"/>
  <c r="K27" i="55"/>
  <c r="I55" i="52"/>
  <c r="K54" i="52"/>
  <c r="I28" i="52"/>
  <c r="K27" i="52"/>
  <c r="I28" i="51"/>
  <c r="K27" i="51"/>
  <c r="I55" i="51"/>
  <c r="K54" i="51"/>
  <c r="I41" i="38"/>
  <c r="K40" i="38"/>
  <c r="I26" i="23"/>
  <c r="K25" i="23"/>
  <c r="K38" i="50"/>
  <c r="I39" i="50"/>
  <c r="I39" i="49"/>
  <c r="K38" i="49"/>
  <c r="I29" i="48"/>
  <c r="K28" i="48"/>
  <c r="I56" i="48"/>
  <c r="K55" i="48"/>
  <c r="I44" i="21"/>
  <c r="K43" i="21"/>
  <c r="I23" i="20"/>
  <c r="K23" i="20" s="1"/>
  <c r="I40" i="45"/>
  <c r="K39" i="45"/>
  <c r="I41" i="44"/>
  <c r="K40" i="44"/>
  <c r="K40" i="43"/>
  <c r="I41" i="43"/>
  <c r="I37" i="42"/>
  <c r="K36" i="42"/>
  <c r="I45" i="40"/>
  <c r="K44" i="40"/>
  <c r="K48" i="39"/>
  <c r="I49" i="39"/>
  <c r="I37" i="37"/>
  <c r="I48" i="37" s="1"/>
  <c r="K48" i="37" s="1"/>
  <c r="K36" i="37"/>
  <c r="I35" i="35"/>
  <c r="K34" i="35"/>
  <c r="I35" i="32"/>
  <c r="K34" i="32"/>
  <c r="I47" i="31"/>
  <c r="K46" i="31"/>
  <c r="I36" i="30"/>
  <c r="K35" i="30"/>
  <c r="K50" i="23"/>
  <c r="I51" i="23"/>
  <c r="I35" i="26"/>
  <c r="I46" i="26" s="1"/>
  <c r="K46" i="26" s="1"/>
  <c r="K34" i="26"/>
  <c r="I35" i="25"/>
  <c r="K34" i="25"/>
  <c r="I67" i="25" l="1"/>
  <c r="K67" i="25" s="1"/>
  <c r="I46" i="25"/>
  <c r="I24" i="20"/>
  <c r="K24" i="20" s="1"/>
  <c r="I26" i="39"/>
  <c r="K25" i="39"/>
  <c r="K45" i="25"/>
  <c r="I56" i="25"/>
  <c r="K56" i="25" s="1"/>
  <c r="I26" i="40"/>
  <c r="K25" i="40"/>
  <c r="I26" i="31"/>
  <c r="K25" i="31"/>
  <c r="K74" i="60"/>
  <c r="I75" i="60"/>
  <c r="K74" i="59"/>
  <c r="I75" i="59"/>
  <c r="K74" i="58"/>
  <c r="I75" i="58"/>
  <c r="I75" i="57"/>
  <c r="K74" i="57"/>
  <c r="I77" i="56"/>
  <c r="K76" i="56"/>
  <c r="I35" i="21"/>
  <c r="K34" i="21"/>
  <c r="I29" i="55"/>
  <c r="K28" i="55"/>
  <c r="I56" i="55"/>
  <c r="K55" i="55"/>
  <c r="I29" i="52"/>
  <c r="K28" i="52"/>
  <c r="I56" i="52"/>
  <c r="K55" i="52"/>
  <c r="I56" i="51"/>
  <c r="K55" i="51"/>
  <c r="I29" i="51"/>
  <c r="K28" i="51"/>
  <c r="K41" i="38"/>
  <c r="I42" i="38"/>
  <c r="K26" i="23"/>
  <c r="I27" i="23"/>
  <c r="I40" i="50"/>
  <c r="K39" i="50"/>
  <c r="I40" i="49"/>
  <c r="K39" i="49"/>
  <c r="I57" i="48"/>
  <c r="K56" i="48"/>
  <c r="K29" i="48"/>
  <c r="I30" i="48"/>
  <c r="I45" i="21"/>
  <c r="K44" i="21"/>
  <c r="K40" i="45"/>
  <c r="I41" i="45"/>
  <c r="I42" i="44"/>
  <c r="K41" i="44"/>
  <c r="K41" i="43"/>
  <c r="I42" i="43"/>
  <c r="K37" i="42"/>
  <c r="I38" i="42"/>
  <c r="I46" i="40"/>
  <c r="K45" i="40"/>
  <c r="I50" i="39"/>
  <c r="K49" i="39"/>
  <c r="I38" i="37"/>
  <c r="I49" i="37" s="1"/>
  <c r="K49" i="37" s="1"/>
  <c r="K37" i="37"/>
  <c r="I36" i="35"/>
  <c r="K35" i="35"/>
  <c r="K35" i="32"/>
  <c r="I36" i="32"/>
  <c r="K47" i="31"/>
  <c r="I48" i="31"/>
  <c r="K36" i="30"/>
  <c r="I37" i="30"/>
  <c r="I52" i="23"/>
  <c r="K51" i="23"/>
  <c r="I36" i="26"/>
  <c r="K35" i="26"/>
  <c r="I36" i="25"/>
  <c r="K35" i="25"/>
  <c r="I28" i="24"/>
  <c r="K27" i="24"/>
  <c r="I25" i="20"/>
  <c r="K25" i="20" s="1"/>
  <c r="I27" i="40" l="1"/>
  <c r="K26" i="40"/>
  <c r="I68" i="25"/>
  <c r="K68" i="25" s="1"/>
  <c r="I47" i="25"/>
  <c r="I27" i="39"/>
  <c r="K26" i="39"/>
  <c r="I57" i="25"/>
  <c r="K57" i="25" s="1"/>
  <c r="K46" i="25"/>
  <c r="I27" i="31"/>
  <c r="K26" i="31"/>
  <c r="K75" i="60"/>
  <c r="I76" i="60"/>
  <c r="K76" i="60" s="1"/>
  <c r="I76" i="59"/>
  <c r="K76" i="59" s="1"/>
  <c r="K75" i="59"/>
  <c r="I76" i="58"/>
  <c r="K76" i="58" s="1"/>
  <c r="K75" i="58"/>
  <c r="I76" i="57"/>
  <c r="K76" i="57" s="1"/>
  <c r="K75" i="57"/>
  <c r="K77" i="56"/>
  <c r="I78" i="56"/>
  <c r="K78" i="56" s="1"/>
  <c r="I36" i="21"/>
  <c r="K35" i="21"/>
  <c r="I57" i="55"/>
  <c r="K56" i="55"/>
  <c r="I30" i="55"/>
  <c r="K29" i="55"/>
  <c r="I57" i="52"/>
  <c r="K56" i="52"/>
  <c r="I30" i="52"/>
  <c r="K29" i="52"/>
  <c r="I30" i="51"/>
  <c r="K29" i="51"/>
  <c r="K56" i="51"/>
  <c r="I57" i="51"/>
  <c r="I43" i="38"/>
  <c r="K42" i="38"/>
  <c r="I28" i="23"/>
  <c r="K27" i="23"/>
  <c r="I41" i="50"/>
  <c r="K40" i="50"/>
  <c r="I41" i="49"/>
  <c r="K40" i="49"/>
  <c r="K30" i="48"/>
  <c r="I31" i="48"/>
  <c r="I58" i="48"/>
  <c r="K57" i="48"/>
  <c r="I46" i="21"/>
  <c r="K45" i="21"/>
  <c r="I42" i="45"/>
  <c r="K41" i="45"/>
  <c r="I43" i="44"/>
  <c r="K42" i="44"/>
  <c r="I43" i="43"/>
  <c r="K42" i="43"/>
  <c r="K38" i="42"/>
  <c r="I39" i="42"/>
  <c r="K46" i="40"/>
  <c r="I47" i="40"/>
  <c r="K50" i="39"/>
  <c r="I51" i="39"/>
  <c r="I39" i="37"/>
  <c r="I50" i="37" s="1"/>
  <c r="K50" i="37" s="1"/>
  <c r="K38" i="37"/>
  <c r="K36" i="35"/>
  <c r="I37" i="35"/>
  <c r="K36" i="32"/>
  <c r="I37" i="32"/>
  <c r="K48" i="31"/>
  <c r="I49" i="31"/>
  <c r="I61" i="30"/>
  <c r="K37" i="30"/>
  <c r="I38" i="30"/>
  <c r="K52" i="23"/>
  <c r="I53" i="23"/>
  <c r="I37" i="26"/>
  <c r="K36" i="26"/>
  <c r="I37" i="25"/>
  <c r="I48" i="25" s="1"/>
  <c r="K36" i="25"/>
  <c r="I29" i="24"/>
  <c r="I30" i="24" s="1"/>
  <c r="K28" i="24"/>
  <c r="I26" i="20"/>
  <c r="K26" i="20" s="1"/>
  <c r="I59" i="25" l="1"/>
  <c r="K59" i="25" s="1"/>
  <c r="K48" i="25"/>
  <c r="I28" i="39"/>
  <c r="K27" i="39"/>
  <c r="I58" i="25"/>
  <c r="K58" i="25" s="1"/>
  <c r="K47" i="25"/>
  <c r="I28" i="40"/>
  <c r="K27" i="40"/>
  <c r="I28" i="31"/>
  <c r="K27" i="31"/>
  <c r="K36" i="21"/>
  <c r="I37" i="21"/>
  <c r="K37" i="21" s="1"/>
  <c r="K30" i="55"/>
  <c r="I31" i="55"/>
  <c r="K57" i="55"/>
  <c r="I58" i="55"/>
  <c r="I31" i="52"/>
  <c r="K30" i="52"/>
  <c r="K57" i="52"/>
  <c r="I58" i="52"/>
  <c r="K57" i="51"/>
  <c r="I58" i="51"/>
  <c r="I31" i="51"/>
  <c r="K30" i="51"/>
  <c r="I44" i="38"/>
  <c r="K43" i="38"/>
  <c r="K28" i="23"/>
  <c r="I29" i="23"/>
  <c r="I42" i="50"/>
  <c r="K42" i="50" s="1"/>
  <c r="K41" i="50"/>
  <c r="I42" i="49"/>
  <c r="K41" i="49"/>
  <c r="I59" i="48"/>
  <c r="K58" i="48"/>
  <c r="K31" i="48"/>
  <c r="I32" i="48"/>
  <c r="I47" i="21"/>
  <c r="K46" i="21"/>
  <c r="I43" i="45"/>
  <c r="K42" i="45"/>
  <c r="I44" i="44"/>
  <c r="K43" i="44"/>
  <c r="K43" i="43"/>
  <c r="I44" i="43"/>
  <c r="I40" i="42"/>
  <c r="K39" i="42"/>
  <c r="I48" i="40"/>
  <c r="K47" i="40"/>
  <c r="I52" i="39"/>
  <c r="K51" i="39"/>
  <c r="I40" i="37"/>
  <c r="I51" i="37" s="1"/>
  <c r="K51" i="37" s="1"/>
  <c r="K39" i="37"/>
  <c r="I38" i="35"/>
  <c r="K37" i="35"/>
  <c r="I38" i="32"/>
  <c r="K37" i="32"/>
  <c r="I50" i="31"/>
  <c r="K49" i="31"/>
  <c r="I39" i="30"/>
  <c r="K38" i="30"/>
  <c r="I62" i="30"/>
  <c r="K62" i="30" s="1"/>
  <c r="K61" i="30"/>
  <c r="I54" i="23"/>
  <c r="K53" i="23"/>
  <c r="K37" i="26"/>
  <c r="I38" i="26"/>
  <c r="I38" i="25"/>
  <c r="I49" i="25" s="1"/>
  <c r="K37" i="25"/>
  <c r="K30" i="24"/>
  <c r="I31" i="24"/>
  <c r="K29" i="24"/>
  <c r="I27" i="20"/>
  <c r="K27" i="20" s="1"/>
  <c r="I29" i="40" l="1"/>
  <c r="K28" i="40"/>
  <c r="I29" i="39"/>
  <c r="K28" i="39"/>
  <c r="I60" i="25"/>
  <c r="K60" i="25" s="1"/>
  <c r="K49" i="25"/>
  <c r="I29" i="31"/>
  <c r="K28" i="31"/>
  <c r="I59" i="55"/>
  <c r="K58" i="55"/>
  <c r="I32" i="55"/>
  <c r="K31" i="55"/>
  <c r="I59" i="52"/>
  <c r="K58" i="52"/>
  <c r="K31" i="52"/>
  <c r="I32" i="52"/>
  <c r="I32" i="51"/>
  <c r="K31" i="51"/>
  <c r="K58" i="51"/>
  <c r="I59" i="51"/>
  <c r="I45" i="38"/>
  <c r="K44" i="38"/>
  <c r="K29" i="23"/>
  <c r="I30" i="23"/>
  <c r="I43" i="49"/>
  <c r="K42" i="49"/>
  <c r="I33" i="48"/>
  <c r="K32" i="48"/>
  <c r="I60" i="48"/>
  <c r="K59" i="48"/>
  <c r="I48" i="21"/>
  <c r="K47" i="21"/>
  <c r="I44" i="45"/>
  <c r="K43" i="45"/>
  <c r="I45" i="44"/>
  <c r="K44" i="44"/>
  <c r="K44" i="43"/>
  <c r="I45" i="43"/>
  <c r="I41" i="42"/>
  <c r="K40" i="42"/>
  <c r="I49" i="40"/>
  <c r="K48" i="40"/>
  <c r="I53" i="39"/>
  <c r="K52" i="39"/>
  <c r="I41" i="37"/>
  <c r="I52" i="37" s="1"/>
  <c r="K52" i="37" s="1"/>
  <c r="K40" i="37"/>
  <c r="K38" i="35"/>
  <c r="I40" i="35"/>
  <c r="I39" i="32"/>
  <c r="K38" i="32"/>
  <c r="I51" i="31"/>
  <c r="K50" i="31"/>
  <c r="I40" i="30"/>
  <c r="K39" i="30"/>
  <c r="K54" i="23"/>
  <c r="I55" i="23"/>
  <c r="I39" i="26"/>
  <c r="K38" i="26"/>
  <c r="I39" i="25"/>
  <c r="I50" i="25" s="1"/>
  <c r="K38" i="25"/>
  <c r="K31" i="24"/>
  <c r="I32" i="24"/>
  <c r="I28" i="20"/>
  <c r="K28" i="20" s="1"/>
  <c r="I61" i="25" l="1"/>
  <c r="K61" i="25" s="1"/>
  <c r="K50" i="25"/>
  <c r="I30" i="39"/>
  <c r="K29" i="39"/>
  <c r="I30" i="40"/>
  <c r="K30" i="40" s="1"/>
  <c r="K29" i="40"/>
  <c r="I30" i="31"/>
  <c r="K29" i="31"/>
  <c r="K32" i="55"/>
  <c r="I33" i="55"/>
  <c r="K59" i="55"/>
  <c r="I60" i="55"/>
  <c r="I33" i="52"/>
  <c r="K32" i="52"/>
  <c r="I60" i="52"/>
  <c r="K59" i="52"/>
  <c r="I60" i="51"/>
  <c r="K59" i="51"/>
  <c r="K32" i="51"/>
  <c r="I33" i="51"/>
  <c r="I46" i="38"/>
  <c r="K45" i="38"/>
  <c r="I31" i="23"/>
  <c r="K30" i="23"/>
  <c r="I44" i="49"/>
  <c r="K43" i="49"/>
  <c r="K60" i="48"/>
  <c r="I61" i="48"/>
  <c r="I34" i="48"/>
  <c r="K33" i="48"/>
  <c r="I49" i="21"/>
  <c r="K48" i="21"/>
  <c r="K44" i="45"/>
  <c r="I45" i="45"/>
  <c r="I46" i="44"/>
  <c r="K45" i="44"/>
  <c r="I46" i="43"/>
  <c r="K45" i="43"/>
  <c r="I42" i="42"/>
  <c r="K41" i="42"/>
  <c r="K49" i="40"/>
  <c r="I50" i="40"/>
  <c r="K53" i="39"/>
  <c r="I54" i="39"/>
  <c r="I42" i="37"/>
  <c r="K41" i="37"/>
  <c r="I41" i="35"/>
  <c r="K40" i="35"/>
  <c r="I40" i="32"/>
  <c r="K39" i="32"/>
  <c r="I52" i="31"/>
  <c r="K51" i="31"/>
  <c r="K40" i="30"/>
  <c r="I41" i="30"/>
  <c r="I56" i="23"/>
  <c r="I57" i="23" s="1"/>
  <c r="K57" i="23" s="1"/>
  <c r="K55" i="23"/>
  <c r="K39" i="26"/>
  <c r="I40" i="26"/>
  <c r="I40" i="25"/>
  <c r="I51" i="25" s="1"/>
  <c r="K39" i="25"/>
  <c r="K32" i="24"/>
  <c r="I33" i="24"/>
  <c r="I34" i="24" s="1"/>
  <c r="K34" i="24" s="1"/>
  <c r="I29" i="20"/>
  <c r="K29" i="20" s="1"/>
  <c r="K51" i="25" l="1"/>
  <c r="I62" i="25"/>
  <c r="K62" i="25" s="1"/>
  <c r="I31" i="39"/>
  <c r="K30" i="39"/>
  <c r="K42" i="37"/>
  <c r="I53" i="37"/>
  <c r="K53" i="37" s="1"/>
  <c r="I31" i="31"/>
  <c r="K30" i="31"/>
  <c r="K33" i="55"/>
  <c r="I34" i="55"/>
  <c r="I61" i="55"/>
  <c r="K60" i="55"/>
  <c r="I61" i="52"/>
  <c r="K60" i="52"/>
  <c r="K33" i="52"/>
  <c r="I34" i="52"/>
  <c r="K33" i="51"/>
  <c r="I34" i="51"/>
  <c r="K60" i="51"/>
  <c r="I61" i="51"/>
  <c r="K46" i="38"/>
  <c r="I47" i="38"/>
  <c r="K31" i="23"/>
  <c r="I32" i="23"/>
  <c r="K44" i="49"/>
  <c r="I45" i="49"/>
  <c r="K34" i="48"/>
  <c r="I35" i="48"/>
  <c r="K35" i="48" s="1"/>
  <c r="K61" i="48"/>
  <c r="I62" i="48"/>
  <c r="I50" i="21"/>
  <c r="K49" i="21"/>
  <c r="I46" i="45"/>
  <c r="K45" i="45"/>
  <c r="I47" i="44"/>
  <c r="K46" i="44"/>
  <c r="I47" i="43"/>
  <c r="K46" i="43"/>
  <c r="K42" i="42"/>
  <c r="I43" i="42"/>
  <c r="I51" i="40"/>
  <c r="K50" i="40"/>
  <c r="I55" i="39"/>
  <c r="K54" i="39"/>
  <c r="K41" i="35"/>
  <c r="I42" i="35"/>
  <c r="I41" i="32"/>
  <c r="K40" i="32"/>
  <c r="K52" i="31"/>
  <c r="I53" i="31"/>
  <c r="I42" i="30"/>
  <c r="K41" i="30"/>
  <c r="K56" i="23"/>
  <c r="I58" i="23"/>
  <c r="I41" i="26"/>
  <c r="K40" i="26"/>
  <c r="I41" i="25"/>
  <c r="I52" i="25" s="1"/>
  <c r="K40" i="25"/>
  <c r="I35" i="24"/>
  <c r="K33" i="24"/>
  <c r="I30" i="20"/>
  <c r="K30" i="20" s="1"/>
  <c r="K52" i="25" l="1"/>
  <c r="I63" i="25"/>
  <c r="K63" i="25" s="1"/>
  <c r="I32" i="39"/>
  <c r="K31" i="39"/>
  <c r="I32" i="31"/>
  <c r="K32" i="31" s="1"/>
  <c r="K31" i="31"/>
  <c r="K61" i="55"/>
  <c r="I62" i="55"/>
  <c r="I35" i="55"/>
  <c r="K35" i="55" s="1"/>
  <c r="K34" i="55"/>
  <c r="I35" i="52"/>
  <c r="K35" i="52" s="1"/>
  <c r="K34" i="52"/>
  <c r="K61" i="52"/>
  <c r="I62" i="52"/>
  <c r="K61" i="51"/>
  <c r="I62" i="51"/>
  <c r="I35" i="51"/>
  <c r="K35" i="51" s="1"/>
  <c r="K34" i="51"/>
  <c r="K47" i="38"/>
  <c r="I48" i="38"/>
  <c r="I33" i="23"/>
  <c r="K32" i="23"/>
  <c r="I46" i="49"/>
  <c r="K45" i="49"/>
  <c r="I63" i="48"/>
  <c r="K62" i="48"/>
  <c r="K50" i="21"/>
  <c r="I51" i="21"/>
  <c r="I47" i="45"/>
  <c r="K46" i="45"/>
  <c r="I48" i="44"/>
  <c r="K47" i="44"/>
  <c r="K47" i="43"/>
  <c r="I48" i="43"/>
  <c r="K43" i="42"/>
  <c r="I44" i="42"/>
  <c r="I52" i="40"/>
  <c r="K51" i="40"/>
  <c r="I56" i="39"/>
  <c r="K55" i="39"/>
  <c r="I43" i="35"/>
  <c r="K42" i="35"/>
  <c r="K41" i="32"/>
  <c r="I42" i="32"/>
  <c r="I54" i="31"/>
  <c r="K53" i="31"/>
  <c r="I43" i="30"/>
  <c r="K42" i="30"/>
  <c r="I59" i="23"/>
  <c r="K58" i="23"/>
  <c r="K41" i="26"/>
  <c r="I42" i="26"/>
  <c r="K42" i="26" s="1"/>
  <c r="I42" i="25"/>
  <c r="K41" i="25"/>
  <c r="K35" i="24"/>
  <c r="I36" i="24"/>
  <c r="I31" i="20"/>
  <c r="K42" i="25" l="1"/>
  <c r="I53" i="25"/>
  <c r="I33" i="39"/>
  <c r="K32" i="39"/>
  <c r="I63" i="55"/>
  <c r="K62" i="55"/>
  <c r="K62" i="52"/>
  <c r="I63" i="52"/>
  <c r="I63" i="51"/>
  <c r="K62" i="51"/>
  <c r="I49" i="38"/>
  <c r="K48" i="38"/>
  <c r="K33" i="23"/>
  <c r="I34" i="23"/>
  <c r="I47" i="49"/>
  <c r="K46" i="49"/>
  <c r="I64" i="48"/>
  <c r="K63" i="48"/>
  <c r="K51" i="21"/>
  <c r="I52" i="21"/>
  <c r="I48" i="45"/>
  <c r="K47" i="45"/>
  <c r="I49" i="44"/>
  <c r="K48" i="44"/>
  <c r="I49" i="43"/>
  <c r="K48" i="43"/>
  <c r="I45" i="42"/>
  <c r="K44" i="42"/>
  <c r="I53" i="40"/>
  <c r="K52" i="40"/>
  <c r="I57" i="39"/>
  <c r="K56" i="39"/>
  <c r="K43" i="35"/>
  <c r="I44" i="35"/>
  <c r="I43" i="32"/>
  <c r="K42" i="32"/>
  <c r="K54" i="31"/>
  <c r="I55" i="31"/>
  <c r="K43" i="30"/>
  <c r="I44" i="30"/>
  <c r="K59" i="23"/>
  <c r="I60" i="23"/>
  <c r="K36" i="24"/>
  <c r="I37" i="24"/>
  <c r="K31" i="20"/>
  <c r="I32" i="20"/>
  <c r="I34" i="39" l="1"/>
  <c r="K34" i="39" s="1"/>
  <c r="K33" i="39"/>
  <c r="K53" i="25"/>
  <c r="I64" i="25"/>
  <c r="K64" i="25" s="1"/>
  <c r="I64" i="55"/>
  <c r="K63" i="55"/>
  <c r="K63" i="52"/>
  <c r="I64" i="52"/>
  <c r="I64" i="51"/>
  <c r="K63" i="51"/>
  <c r="I50" i="38"/>
  <c r="K49" i="38"/>
  <c r="K34" i="23"/>
  <c r="I35" i="23"/>
  <c r="K35" i="23" s="1"/>
  <c r="K47" i="49"/>
  <c r="I48" i="49"/>
  <c r="I65" i="48"/>
  <c r="K64" i="48"/>
  <c r="I53" i="21"/>
  <c r="K52" i="21"/>
  <c r="K48" i="45"/>
  <c r="I49" i="45"/>
  <c r="I50" i="44"/>
  <c r="K49" i="44"/>
  <c r="K49" i="43"/>
  <c r="I50" i="43"/>
  <c r="I46" i="42"/>
  <c r="K45" i="42"/>
  <c r="I54" i="40"/>
  <c r="K53" i="40"/>
  <c r="I58" i="39"/>
  <c r="K57" i="39"/>
  <c r="I45" i="35"/>
  <c r="K44" i="35"/>
  <c r="I44" i="32"/>
  <c r="K43" i="32"/>
  <c r="K55" i="31"/>
  <c r="I56" i="31"/>
  <c r="I45" i="30"/>
  <c r="K44" i="30"/>
  <c r="I61" i="23"/>
  <c r="K60" i="23"/>
  <c r="K37" i="24"/>
  <c r="I38" i="24"/>
  <c r="I33" i="20"/>
  <c r="K32" i="20"/>
  <c r="I65" i="55" l="1"/>
  <c r="K64" i="55"/>
  <c r="I65" i="52"/>
  <c r="K64" i="52"/>
  <c r="K64" i="51"/>
  <c r="I65" i="51"/>
  <c r="K50" i="38"/>
  <c r="I51" i="38"/>
  <c r="I49" i="49"/>
  <c r="K48" i="49"/>
  <c r="K65" i="48"/>
  <c r="I66" i="48"/>
  <c r="I54" i="21"/>
  <c r="K53" i="21"/>
  <c r="I50" i="45"/>
  <c r="K49" i="45"/>
  <c r="I51" i="44"/>
  <c r="K50" i="44"/>
  <c r="I51" i="43"/>
  <c r="K50" i="43"/>
  <c r="K46" i="42"/>
  <c r="I47" i="42"/>
  <c r="I55" i="40"/>
  <c r="K54" i="40"/>
  <c r="I59" i="39"/>
  <c r="K58" i="39"/>
  <c r="K45" i="35"/>
  <c r="I46" i="35"/>
  <c r="K44" i="32"/>
  <c r="I45" i="32"/>
  <c r="I57" i="31"/>
  <c r="K56" i="31"/>
  <c r="I46" i="30"/>
  <c r="K45" i="30"/>
  <c r="K61" i="23"/>
  <c r="I62" i="23"/>
  <c r="I39" i="24"/>
  <c r="K38" i="24"/>
  <c r="I34" i="20"/>
  <c r="I38" i="20" s="1"/>
  <c r="K38" i="20" s="1"/>
  <c r="K33" i="20"/>
  <c r="K65" i="55" l="1"/>
  <c r="I66" i="55"/>
  <c r="K65" i="52"/>
  <c r="I66" i="52"/>
  <c r="K65" i="51"/>
  <c r="I66" i="51"/>
  <c r="K51" i="38"/>
  <c r="I52" i="38"/>
  <c r="I50" i="49"/>
  <c r="K49" i="49"/>
  <c r="I67" i="48"/>
  <c r="K66" i="48"/>
  <c r="I55" i="21"/>
  <c r="K54" i="21"/>
  <c r="I51" i="45"/>
  <c r="K50" i="45"/>
  <c r="I52" i="44"/>
  <c r="K51" i="44"/>
  <c r="K51" i="43"/>
  <c r="I52" i="43"/>
  <c r="I48" i="42"/>
  <c r="K47" i="42"/>
  <c r="I56" i="40"/>
  <c r="K55" i="40"/>
  <c r="I60" i="39"/>
  <c r="K59" i="39"/>
  <c r="I47" i="35"/>
  <c r="K46" i="35"/>
  <c r="I46" i="32"/>
  <c r="K45" i="32"/>
  <c r="I58" i="31"/>
  <c r="K57" i="31"/>
  <c r="K46" i="30"/>
  <c r="I47" i="30"/>
  <c r="I63" i="23"/>
  <c r="K62" i="23"/>
  <c r="K39" i="24"/>
  <c r="I40" i="24"/>
  <c r="K34" i="20"/>
  <c r="I67" i="55" l="1"/>
  <c r="K66" i="55"/>
  <c r="I67" i="52"/>
  <c r="K66" i="52"/>
  <c r="K66" i="51"/>
  <c r="I67" i="51"/>
  <c r="I53" i="38"/>
  <c r="K52" i="38"/>
  <c r="K50" i="49"/>
  <c r="I51" i="49"/>
  <c r="K67" i="48"/>
  <c r="I68" i="48"/>
  <c r="I56" i="21"/>
  <c r="K55" i="21"/>
  <c r="I52" i="45"/>
  <c r="K51" i="45"/>
  <c r="I53" i="44"/>
  <c r="K52" i="44"/>
  <c r="K52" i="43"/>
  <c r="I53" i="43"/>
  <c r="K48" i="42"/>
  <c r="I49" i="42"/>
  <c r="I57" i="40"/>
  <c r="K56" i="40"/>
  <c r="I61" i="39"/>
  <c r="K60" i="39"/>
  <c r="I48" i="35"/>
  <c r="K47" i="35"/>
  <c r="K46" i="32"/>
  <c r="I47" i="32"/>
  <c r="I59" i="31"/>
  <c r="K58" i="31"/>
  <c r="K47" i="30"/>
  <c r="I48" i="30"/>
  <c r="K63" i="23"/>
  <c r="I64" i="23"/>
  <c r="I41" i="24"/>
  <c r="K40" i="24"/>
  <c r="I39" i="20"/>
  <c r="K39" i="20" l="1"/>
  <c r="I40" i="20"/>
  <c r="I41" i="20" s="1"/>
  <c r="I42" i="20" s="1"/>
  <c r="I43" i="20" s="1"/>
  <c r="I44" i="20" s="1"/>
  <c r="I45" i="20" s="1"/>
  <c r="I46" i="20" s="1"/>
  <c r="I47" i="20" s="1"/>
  <c r="I48" i="20" s="1"/>
  <c r="K67" i="55"/>
  <c r="I68" i="55"/>
  <c r="K67" i="52"/>
  <c r="I68" i="52"/>
  <c r="I68" i="51"/>
  <c r="K67" i="51"/>
  <c r="I54" i="38"/>
  <c r="K53" i="38"/>
  <c r="I52" i="49"/>
  <c r="K51" i="49"/>
  <c r="I69" i="48"/>
  <c r="K68" i="48"/>
  <c r="I57" i="21"/>
  <c r="K56" i="21"/>
  <c r="K52" i="45"/>
  <c r="I53" i="45"/>
  <c r="I54" i="44"/>
  <c r="K53" i="44"/>
  <c r="K53" i="43"/>
  <c r="I54" i="43"/>
  <c r="K49" i="42"/>
  <c r="I78" i="42"/>
  <c r="I50" i="42"/>
  <c r="K57" i="40"/>
  <c r="I58" i="40"/>
  <c r="I62" i="39"/>
  <c r="K61" i="39"/>
  <c r="I49" i="35"/>
  <c r="K48" i="35"/>
  <c r="I48" i="32"/>
  <c r="K47" i="32"/>
  <c r="K59" i="31"/>
  <c r="I60" i="31"/>
  <c r="I49" i="30"/>
  <c r="K48" i="30"/>
  <c r="K64" i="23"/>
  <c r="I65" i="23"/>
  <c r="K41" i="24"/>
  <c r="I42" i="24"/>
  <c r="I69" i="55" l="1"/>
  <c r="K68" i="55"/>
  <c r="I69" i="52"/>
  <c r="K68" i="52"/>
  <c r="I69" i="51"/>
  <c r="K68" i="51"/>
  <c r="I55" i="38"/>
  <c r="K54" i="38"/>
  <c r="I53" i="49"/>
  <c r="K52" i="49"/>
  <c r="K69" i="48"/>
  <c r="I70" i="48"/>
  <c r="K57" i="21"/>
  <c r="I58" i="21"/>
  <c r="I54" i="45"/>
  <c r="K53" i="45"/>
  <c r="I55" i="44"/>
  <c r="K54" i="44"/>
  <c r="I55" i="43"/>
  <c r="K54" i="43"/>
  <c r="I51" i="42"/>
  <c r="K50" i="42"/>
  <c r="I79" i="42"/>
  <c r="K78" i="42"/>
  <c r="I59" i="40"/>
  <c r="K58" i="40"/>
  <c r="K62" i="39"/>
  <c r="I63" i="39"/>
  <c r="K49" i="35"/>
  <c r="I78" i="35"/>
  <c r="I50" i="35"/>
  <c r="I77" i="32"/>
  <c r="I49" i="32"/>
  <c r="K48" i="32"/>
  <c r="K60" i="31"/>
  <c r="I61" i="31"/>
  <c r="I50" i="30"/>
  <c r="K49" i="30"/>
  <c r="K65" i="23"/>
  <c r="I66" i="23"/>
  <c r="I43" i="24"/>
  <c r="K42" i="24"/>
  <c r="K69" i="55" l="1"/>
  <c r="I70" i="55"/>
  <c r="K69" i="52"/>
  <c r="I70" i="52"/>
  <c r="K69" i="51"/>
  <c r="I70" i="51"/>
  <c r="K55" i="38"/>
  <c r="I56" i="38"/>
  <c r="I54" i="49"/>
  <c r="K53" i="49"/>
  <c r="K70" i="48"/>
  <c r="I71" i="48"/>
  <c r="I59" i="21"/>
  <c r="K58" i="21"/>
  <c r="I55" i="45"/>
  <c r="K54" i="45"/>
  <c r="I56" i="44"/>
  <c r="K55" i="44"/>
  <c r="I56" i="43"/>
  <c r="K55" i="43"/>
  <c r="K79" i="42"/>
  <c r="I80" i="42"/>
  <c r="I52" i="42"/>
  <c r="K51" i="42"/>
  <c r="I60" i="40"/>
  <c r="K59" i="40"/>
  <c r="I64" i="39"/>
  <c r="K63" i="39"/>
  <c r="I51" i="35"/>
  <c r="K50" i="35"/>
  <c r="I79" i="35"/>
  <c r="K78" i="35"/>
  <c r="K49" i="32"/>
  <c r="I50" i="32"/>
  <c r="I78" i="32"/>
  <c r="K77" i="32"/>
  <c r="I62" i="31"/>
  <c r="K61" i="31"/>
  <c r="K50" i="30"/>
  <c r="I51" i="30"/>
  <c r="I67" i="23"/>
  <c r="K66" i="23"/>
  <c r="K43" i="24"/>
  <c r="I44" i="24"/>
  <c r="K40" i="20"/>
  <c r="I71" i="55" l="1"/>
  <c r="K70" i="55"/>
  <c r="I71" i="52"/>
  <c r="K70" i="52"/>
  <c r="K70" i="51"/>
  <c r="I71" i="51"/>
  <c r="I57" i="38"/>
  <c r="K56" i="38"/>
  <c r="K54" i="49"/>
  <c r="I55" i="49"/>
  <c r="I72" i="48"/>
  <c r="K71" i="48"/>
  <c r="I60" i="21"/>
  <c r="K59" i="21"/>
  <c r="K55" i="45"/>
  <c r="I56" i="45"/>
  <c r="I57" i="44"/>
  <c r="K56" i="44"/>
  <c r="I57" i="43"/>
  <c r="K56" i="43"/>
  <c r="I53" i="42"/>
  <c r="K52" i="42"/>
  <c r="I81" i="42"/>
  <c r="K80" i="42"/>
  <c r="I61" i="40"/>
  <c r="K60" i="40"/>
  <c r="I65" i="39"/>
  <c r="K64" i="39"/>
  <c r="I80" i="35"/>
  <c r="K79" i="35"/>
  <c r="I52" i="35"/>
  <c r="K51" i="35"/>
  <c r="K78" i="32"/>
  <c r="I79" i="32"/>
  <c r="I51" i="32"/>
  <c r="K50" i="32"/>
  <c r="I63" i="31"/>
  <c r="K62" i="31"/>
  <c r="K51" i="30"/>
  <c r="I52" i="30"/>
  <c r="K67" i="23"/>
  <c r="I68" i="23"/>
  <c r="K44" i="24"/>
  <c r="I45" i="24"/>
  <c r="K41" i="20"/>
  <c r="I72" i="55" l="1"/>
  <c r="K71" i="55"/>
  <c r="K71" i="52"/>
  <c r="I72" i="52"/>
  <c r="I72" i="51"/>
  <c r="K71" i="51"/>
  <c r="I58" i="38"/>
  <c r="K57" i="38"/>
  <c r="I56" i="49"/>
  <c r="K55" i="49"/>
  <c r="I73" i="48"/>
  <c r="K72" i="48"/>
  <c r="I61" i="21"/>
  <c r="K60" i="21"/>
  <c r="K56" i="45"/>
  <c r="I57" i="45"/>
  <c r="I58" i="44"/>
  <c r="K57" i="44"/>
  <c r="K57" i="43"/>
  <c r="I58" i="43"/>
  <c r="K81" i="42"/>
  <c r="I82" i="42"/>
  <c r="K53" i="42"/>
  <c r="I54" i="42"/>
  <c r="K61" i="40"/>
  <c r="I62" i="40"/>
  <c r="I66" i="39"/>
  <c r="K65" i="39"/>
  <c r="I53" i="35"/>
  <c r="K52" i="35"/>
  <c r="I81" i="35"/>
  <c r="K80" i="35"/>
  <c r="I52" i="32"/>
  <c r="K51" i="32"/>
  <c r="I80" i="32"/>
  <c r="K79" i="32"/>
  <c r="I64" i="31"/>
  <c r="K63" i="31"/>
  <c r="I53" i="30"/>
  <c r="K52" i="30"/>
  <c r="I69" i="23"/>
  <c r="K68" i="23"/>
  <c r="K45" i="24"/>
  <c r="I46" i="24"/>
  <c r="K42" i="20"/>
  <c r="I73" i="55" l="1"/>
  <c r="K72" i="55"/>
  <c r="I73" i="52"/>
  <c r="K72" i="52"/>
  <c r="I73" i="51"/>
  <c r="K72" i="51"/>
  <c r="K58" i="38"/>
  <c r="I59" i="38"/>
  <c r="I57" i="49"/>
  <c r="K56" i="49"/>
  <c r="K73" i="48"/>
  <c r="I74" i="48"/>
  <c r="K61" i="21"/>
  <c r="I62" i="21"/>
  <c r="I58" i="45"/>
  <c r="K57" i="45"/>
  <c r="I59" i="44"/>
  <c r="K58" i="44"/>
  <c r="I59" i="43"/>
  <c r="K58" i="43"/>
  <c r="I55" i="42"/>
  <c r="K54" i="42"/>
  <c r="I83" i="42"/>
  <c r="K82" i="42"/>
  <c r="I63" i="40"/>
  <c r="K62" i="40"/>
  <c r="I67" i="39"/>
  <c r="K66" i="39"/>
  <c r="K81" i="35"/>
  <c r="I82" i="35"/>
  <c r="K53" i="35"/>
  <c r="I54" i="35"/>
  <c r="I81" i="32"/>
  <c r="K80" i="32"/>
  <c r="I53" i="32"/>
  <c r="K52" i="32"/>
  <c r="I65" i="31"/>
  <c r="K64" i="31"/>
  <c r="I54" i="30"/>
  <c r="K53" i="30"/>
  <c r="K69" i="23"/>
  <c r="I70" i="23"/>
  <c r="I47" i="24"/>
  <c r="K46" i="24"/>
  <c r="K43" i="20"/>
  <c r="K73" i="55" l="1"/>
  <c r="I74" i="55"/>
  <c r="K73" i="52"/>
  <c r="I74" i="52"/>
  <c r="K73" i="51"/>
  <c r="I74" i="51"/>
  <c r="I60" i="38"/>
  <c r="K59" i="38"/>
  <c r="I58" i="49"/>
  <c r="K57" i="49"/>
  <c r="I75" i="48"/>
  <c r="K74" i="48"/>
  <c r="I63" i="21"/>
  <c r="K62" i="21"/>
  <c r="I59" i="45"/>
  <c r="K58" i="45"/>
  <c r="I60" i="44"/>
  <c r="K59" i="44"/>
  <c r="K59" i="43"/>
  <c r="I60" i="43"/>
  <c r="I84" i="42"/>
  <c r="K84" i="42" s="1"/>
  <c r="K83" i="42"/>
  <c r="I56" i="42"/>
  <c r="K55" i="42"/>
  <c r="I64" i="40"/>
  <c r="K63" i="40"/>
  <c r="I68" i="39"/>
  <c r="K67" i="39"/>
  <c r="I55" i="35"/>
  <c r="K54" i="35"/>
  <c r="I83" i="35"/>
  <c r="K82" i="35"/>
  <c r="I54" i="32"/>
  <c r="K53" i="32"/>
  <c r="I82" i="32"/>
  <c r="K81" i="32"/>
  <c r="I66" i="31"/>
  <c r="K65" i="31"/>
  <c r="K54" i="30"/>
  <c r="I55" i="30"/>
  <c r="I71" i="23"/>
  <c r="K70" i="23"/>
  <c r="K47" i="24"/>
  <c r="I48" i="24"/>
  <c r="K44" i="20"/>
  <c r="K74" i="55" l="1"/>
  <c r="I75" i="55"/>
  <c r="I75" i="52"/>
  <c r="K74" i="52"/>
  <c r="I75" i="51"/>
  <c r="K74" i="51"/>
  <c r="I61" i="38"/>
  <c r="K60" i="38"/>
  <c r="K58" i="49"/>
  <c r="I59" i="49"/>
  <c r="K75" i="48"/>
  <c r="I76" i="48"/>
  <c r="K76" i="48" s="1"/>
  <c r="K63" i="21"/>
  <c r="I64" i="21"/>
  <c r="I60" i="45"/>
  <c r="K59" i="45"/>
  <c r="I61" i="44"/>
  <c r="K60" i="44"/>
  <c r="I61" i="43"/>
  <c r="K60" i="43"/>
  <c r="I57" i="42"/>
  <c r="K56" i="42"/>
  <c r="I65" i="40"/>
  <c r="K64" i="40"/>
  <c r="I69" i="39"/>
  <c r="K68" i="39"/>
  <c r="I84" i="35"/>
  <c r="K84" i="35" s="1"/>
  <c r="K83" i="35"/>
  <c r="I56" i="35"/>
  <c r="K55" i="35"/>
  <c r="K82" i="32"/>
  <c r="I83" i="32"/>
  <c r="K83" i="32" s="1"/>
  <c r="K54" i="32"/>
  <c r="I55" i="32"/>
  <c r="I67" i="31"/>
  <c r="K66" i="31"/>
  <c r="I56" i="30"/>
  <c r="K55" i="30"/>
  <c r="K71" i="23"/>
  <c r="I72" i="23"/>
  <c r="K48" i="24"/>
  <c r="I49" i="24"/>
  <c r="I50" i="24" s="1"/>
  <c r="K45" i="20"/>
  <c r="K50" i="24" l="1"/>
  <c r="I51" i="24"/>
  <c r="K75" i="55"/>
  <c r="I76" i="55"/>
  <c r="K76" i="55" s="1"/>
  <c r="I76" i="52"/>
  <c r="K76" i="52" s="1"/>
  <c r="K75" i="52"/>
  <c r="I76" i="51"/>
  <c r="K76" i="51" s="1"/>
  <c r="K75" i="51"/>
  <c r="I62" i="38"/>
  <c r="K61" i="38"/>
  <c r="I60" i="49"/>
  <c r="K59" i="49"/>
  <c r="I65" i="21"/>
  <c r="K64" i="21"/>
  <c r="I95" i="21"/>
  <c r="K60" i="45"/>
  <c r="I61" i="45"/>
  <c r="I62" i="44"/>
  <c r="K62" i="44" s="1"/>
  <c r="K61" i="44"/>
  <c r="I62" i="43"/>
  <c r="K62" i="43" s="1"/>
  <c r="K61" i="43"/>
  <c r="K57" i="42"/>
  <c r="I58" i="42"/>
  <c r="K65" i="40"/>
  <c r="I66" i="40"/>
  <c r="I70" i="39"/>
  <c r="K69" i="39"/>
  <c r="I57" i="35"/>
  <c r="K56" i="35"/>
  <c r="I56" i="32"/>
  <c r="K55" i="32"/>
  <c r="I68" i="31"/>
  <c r="K67" i="31"/>
  <c r="I57" i="30"/>
  <c r="K56" i="30"/>
  <c r="I73" i="23"/>
  <c r="K72" i="23"/>
  <c r="I68" i="24"/>
  <c r="K49" i="24"/>
  <c r="K46" i="20"/>
  <c r="K51" i="24" l="1"/>
  <c r="I52" i="24"/>
  <c r="K62" i="38"/>
  <c r="I63" i="38"/>
  <c r="I61" i="49"/>
  <c r="K60" i="49"/>
  <c r="I96" i="21"/>
  <c r="K95" i="21"/>
  <c r="I66" i="21"/>
  <c r="K65" i="21"/>
  <c r="I62" i="45"/>
  <c r="K62" i="45" s="1"/>
  <c r="K61" i="45"/>
  <c r="I59" i="42"/>
  <c r="K58" i="42"/>
  <c r="I67" i="40"/>
  <c r="K66" i="40"/>
  <c r="I71" i="39"/>
  <c r="K70" i="39"/>
  <c r="K57" i="35"/>
  <c r="I58" i="35"/>
  <c r="I57" i="32"/>
  <c r="K56" i="32"/>
  <c r="K68" i="31"/>
  <c r="I69" i="31"/>
  <c r="I58" i="30"/>
  <c r="K57" i="30"/>
  <c r="K73" i="23"/>
  <c r="I74" i="23"/>
  <c r="I69" i="24"/>
  <c r="K68" i="24"/>
  <c r="K52" i="24" l="1"/>
  <c r="I53" i="24"/>
  <c r="I64" i="38"/>
  <c r="K63" i="38"/>
  <c r="I62" i="49"/>
  <c r="K62" i="49" s="1"/>
  <c r="K61" i="49"/>
  <c r="K66" i="21"/>
  <c r="I67" i="21"/>
  <c r="K96" i="21"/>
  <c r="I97" i="21"/>
  <c r="K47" i="20"/>
  <c r="K48" i="20"/>
  <c r="I60" i="42"/>
  <c r="K59" i="42"/>
  <c r="I68" i="40"/>
  <c r="K67" i="40"/>
  <c r="I72" i="39"/>
  <c r="K71" i="39"/>
  <c r="I59" i="35"/>
  <c r="K58" i="35"/>
  <c r="I58" i="32"/>
  <c r="K57" i="32"/>
  <c r="I70" i="31"/>
  <c r="K69" i="31"/>
  <c r="K58" i="30"/>
  <c r="I59" i="30"/>
  <c r="I75" i="23"/>
  <c r="K74" i="23"/>
  <c r="K69" i="24"/>
  <c r="I70" i="24"/>
  <c r="K70" i="24" s="1"/>
  <c r="K83" i="19"/>
  <c r="G21" i="19"/>
  <c r="G20" i="19"/>
  <c r="G19" i="19"/>
  <c r="G18" i="19"/>
  <c r="G17" i="19"/>
  <c r="G16" i="19"/>
  <c r="G15" i="19"/>
  <c r="G13" i="19"/>
  <c r="G12" i="19"/>
  <c r="G11" i="19"/>
  <c r="I54" i="24" l="1"/>
  <c r="K53" i="24"/>
  <c r="I65" i="38"/>
  <c r="K64" i="38"/>
  <c r="I68" i="21"/>
  <c r="K67" i="21"/>
  <c r="I98" i="21"/>
  <c r="K97" i="21"/>
  <c r="K22" i="19"/>
  <c r="G22" i="19"/>
  <c r="G3" i="19" s="1"/>
  <c r="I61" i="42"/>
  <c r="K60" i="42"/>
  <c r="I69" i="40"/>
  <c r="K68" i="40"/>
  <c r="I73" i="39"/>
  <c r="K72" i="39"/>
  <c r="I60" i="35"/>
  <c r="K59" i="35"/>
  <c r="K58" i="32"/>
  <c r="I59" i="32"/>
  <c r="K70" i="31"/>
  <c r="I71" i="31"/>
  <c r="I60" i="30"/>
  <c r="K60" i="30" s="1"/>
  <c r="K59" i="30"/>
  <c r="K75" i="23"/>
  <c r="I76" i="23"/>
  <c r="I77" i="23" s="1"/>
  <c r="I11" i="19"/>
  <c r="K77" i="23" l="1"/>
  <c r="I78" i="23"/>
  <c r="K54" i="24"/>
  <c r="I55" i="24"/>
  <c r="I66" i="38"/>
  <c r="K65" i="38"/>
  <c r="I99" i="21"/>
  <c r="K98" i="21"/>
  <c r="I69" i="21"/>
  <c r="K68" i="21"/>
  <c r="K61" i="42"/>
  <c r="I62" i="42"/>
  <c r="I70" i="40"/>
  <c r="K69" i="40"/>
  <c r="I74" i="39"/>
  <c r="K73" i="39"/>
  <c r="I61" i="35"/>
  <c r="K60" i="35"/>
  <c r="I60" i="32"/>
  <c r="K59" i="32"/>
  <c r="I72" i="31"/>
  <c r="K72" i="31" s="1"/>
  <c r="K71" i="31"/>
  <c r="I98" i="23"/>
  <c r="K98" i="23" s="1"/>
  <c r="K99" i="23" s="1"/>
  <c r="K76" i="23"/>
  <c r="I12" i="19"/>
  <c r="K11" i="19"/>
  <c r="G14" i="4"/>
  <c r="G15" i="4"/>
  <c r="G16" i="4"/>
  <c r="G17" i="4"/>
  <c r="G18" i="4"/>
  <c r="G19" i="4"/>
  <c r="G20" i="4"/>
  <c r="G21" i="4"/>
  <c r="G15" i="8"/>
  <c r="G16" i="8"/>
  <c r="G17" i="8"/>
  <c r="G18" i="8"/>
  <c r="G19" i="8"/>
  <c r="G20" i="8"/>
  <c r="G21" i="8"/>
  <c r="G22" i="8"/>
  <c r="G4" i="8"/>
  <c r="K78" i="23" l="1"/>
  <c r="I79" i="23"/>
  <c r="K55" i="24"/>
  <c r="I56" i="24"/>
  <c r="K66" i="38"/>
  <c r="I67" i="38"/>
  <c r="K69" i="21"/>
  <c r="I70" i="21"/>
  <c r="I100" i="21"/>
  <c r="K99" i="21"/>
  <c r="I63" i="42"/>
  <c r="K62" i="42"/>
  <c r="I71" i="40"/>
  <c r="K70" i="40"/>
  <c r="I75" i="39"/>
  <c r="K74" i="39"/>
  <c r="K61" i="35"/>
  <c r="I62" i="35"/>
  <c r="I61" i="32"/>
  <c r="K60" i="32"/>
  <c r="K12" i="19"/>
  <c r="I13" i="19"/>
  <c r="I14" i="19" s="1"/>
  <c r="K79" i="23" l="1"/>
  <c r="I80" i="23"/>
  <c r="K56" i="24"/>
  <c r="I57" i="24"/>
  <c r="I68" i="38"/>
  <c r="K67" i="38"/>
  <c r="I101" i="21"/>
  <c r="K101" i="21" s="1"/>
  <c r="K100" i="21"/>
  <c r="K70" i="21"/>
  <c r="I71" i="21"/>
  <c r="I64" i="42"/>
  <c r="K63" i="42"/>
  <c r="I72" i="40"/>
  <c r="K71" i="40"/>
  <c r="I76" i="39"/>
  <c r="K75" i="39"/>
  <c r="I15" i="19"/>
  <c r="K14" i="19"/>
  <c r="I63" i="35"/>
  <c r="K62" i="35"/>
  <c r="I62" i="32"/>
  <c r="K61" i="32"/>
  <c r="K13" i="19"/>
  <c r="I25" i="19"/>
  <c r="G23" i="8"/>
  <c r="G14" i="8"/>
  <c r="G13" i="8"/>
  <c r="G12" i="8"/>
  <c r="K80" i="23" l="1"/>
  <c r="I81" i="23"/>
  <c r="K57" i="24"/>
  <c r="I58" i="24"/>
  <c r="G24" i="8"/>
  <c r="G3" i="8" s="1"/>
  <c r="I69" i="38"/>
  <c r="K68" i="38"/>
  <c r="I72" i="21"/>
  <c r="K71" i="21"/>
  <c r="I65" i="42"/>
  <c r="K64" i="42"/>
  <c r="I73" i="40"/>
  <c r="K72" i="40"/>
  <c r="I77" i="39"/>
  <c r="K76" i="39"/>
  <c r="I16" i="19"/>
  <c r="K15" i="19"/>
  <c r="I64" i="35"/>
  <c r="K63" i="35"/>
  <c r="K62" i="32"/>
  <c r="I63" i="32"/>
  <c r="I26" i="19"/>
  <c r="I27" i="19" s="1"/>
  <c r="I28" i="19" s="1"/>
  <c r="I29" i="19" s="1"/>
  <c r="I30" i="19" s="1"/>
  <c r="I31" i="19" s="1"/>
  <c r="I32" i="19" s="1"/>
  <c r="K25" i="19"/>
  <c r="K24" i="8"/>
  <c r="I11" i="8"/>
  <c r="K11" i="8" s="1"/>
  <c r="I82" i="23" l="1"/>
  <c r="K81" i="23"/>
  <c r="K58" i="24"/>
  <c r="I59" i="24"/>
  <c r="K69" i="38"/>
  <c r="I70" i="38"/>
  <c r="K72" i="21"/>
  <c r="I75" i="21"/>
  <c r="K65" i="42"/>
  <c r="I66" i="42"/>
  <c r="I74" i="40"/>
  <c r="K73" i="40"/>
  <c r="I78" i="39"/>
  <c r="K77" i="39"/>
  <c r="I17" i="19"/>
  <c r="K16" i="19"/>
  <c r="I65" i="35"/>
  <c r="K64" i="35"/>
  <c r="I64" i="32"/>
  <c r="K63" i="32"/>
  <c r="I33" i="19"/>
  <c r="K26" i="19"/>
  <c r="I12" i="8"/>
  <c r="I83" i="23" l="1"/>
  <c r="K82" i="23"/>
  <c r="K59" i="24"/>
  <c r="I60" i="24"/>
  <c r="K70" i="38"/>
  <c r="I71" i="38"/>
  <c r="K75" i="21"/>
  <c r="I76" i="21"/>
  <c r="I67" i="42"/>
  <c r="K66" i="42"/>
  <c r="I75" i="40"/>
  <c r="K74" i="40"/>
  <c r="I79" i="39"/>
  <c r="K78" i="39"/>
  <c r="I18" i="19"/>
  <c r="K17" i="19"/>
  <c r="K65" i="35"/>
  <c r="I66" i="35"/>
  <c r="I65" i="32"/>
  <c r="K64" i="32"/>
  <c r="I34" i="19"/>
  <c r="I35" i="19" s="1"/>
  <c r="K33" i="19"/>
  <c r="K27" i="19"/>
  <c r="K12" i="8"/>
  <c r="I13" i="8"/>
  <c r="K13" i="8" s="1"/>
  <c r="K83" i="23" l="1"/>
  <c r="I84" i="23"/>
  <c r="K60" i="24"/>
  <c r="I61" i="24"/>
  <c r="I72" i="38"/>
  <c r="K71" i="38"/>
  <c r="K76" i="21"/>
  <c r="I77" i="21"/>
  <c r="K67" i="42"/>
  <c r="I68" i="42"/>
  <c r="I36" i="19"/>
  <c r="I37" i="19" s="1"/>
  <c r="I38" i="19" s="1"/>
  <c r="I39" i="19" s="1"/>
  <c r="I40" i="19" s="1"/>
  <c r="I41" i="19" s="1"/>
  <c r="I42" i="19" s="1"/>
  <c r="I43" i="19" s="1"/>
  <c r="I44" i="19" s="1"/>
  <c r="I45" i="19" s="1"/>
  <c r="K35" i="19"/>
  <c r="I76" i="40"/>
  <c r="K75" i="40"/>
  <c r="I80" i="39"/>
  <c r="K79" i="39"/>
  <c r="I19" i="19"/>
  <c r="K18" i="19"/>
  <c r="I67" i="35"/>
  <c r="K66" i="35"/>
  <c r="I66" i="32"/>
  <c r="K65" i="32"/>
  <c r="K34" i="19"/>
  <c r="K28" i="19"/>
  <c r="I14" i="8"/>
  <c r="K84" i="23" l="1"/>
  <c r="I85" i="23"/>
  <c r="I62" i="24"/>
  <c r="K61" i="24"/>
  <c r="I73" i="38"/>
  <c r="K72" i="38"/>
  <c r="K77" i="21"/>
  <c r="I78" i="21"/>
  <c r="I69" i="42"/>
  <c r="K68" i="42"/>
  <c r="I46" i="19"/>
  <c r="K45" i="19"/>
  <c r="I77" i="40"/>
  <c r="K76" i="40"/>
  <c r="I81" i="39"/>
  <c r="K80" i="39"/>
  <c r="I20" i="19"/>
  <c r="K19" i="19"/>
  <c r="I68" i="35"/>
  <c r="K67" i="35"/>
  <c r="K66" i="32"/>
  <c r="I67" i="32"/>
  <c r="K36" i="19"/>
  <c r="K29" i="19"/>
  <c r="K14" i="8"/>
  <c r="I15" i="8"/>
  <c r="I23" i="8"/>
  <c r="I86" i="23" l="1"/>
  <c r="K85" i="23"/>
  <c r="I63" i="24"/>
  <c r="K62" i="24"/>
  <c r="I74" i="38"/>
  <c r="K73" i="38"/>
  <c r="I79" i="21"/>
  <c r="K78" i="21"/>
  <c r="K69" i="42"/>
  <c r="I70" i="42"/>
  <c r="I47" i="19"/>
  <c r="K46" i="19"/>
  <c r="K77" i="40"/>
  <c r="I78" i="40"/>
  <c r="I82" i="39"/>
  <c r="K81" i="39"/>
  <c r="I21" i="19"/>
  <c r="K21" i="19" s="1"/>
  <c r="K20" i="19"/>
  <c r="I69" i="35"/>
  <c r="K68" i="35"/>
  <c r="I68" i="32"/>
  <c r="K67" i="32"/>
  <c r="K37" i="19"/>
  <c r="K30" i="19"/>
  <c r="K15" i="8"/>
  <c r="I16" i="8"/>
  <c r="I27" i="8"/>
  <c r="K27" i="8" s="1"/>
  <c r="K23" i="8"/>
  <c r="I87" i="23" l="1"/>
  <c r="K86" i="23"/>
  <c r="K63" i="24"/>
  <c r="I64" i="24"/>
  <c r="K74" i="38"/>
  <c r="I75" i="38"/>
  <c r="K79" i="21"/>
  <c r="I80" i="21"/>
  <c r="I71" i="42"/>
  <c r="K70" i="42"/>
  <c r="I48" i="19"/>
  <c r="K47" i="19"/>
  <c r="I79" i="40"/>
  <c r="K78" i="40"/>
  <c r="I83" i="39"/>
  <c r="K82" i="39"/>
  <c r="K69" i="35"/>
  <c r="I70" i="35"/>
  <c r="I69" i="32"/>
  <c r="K68" i="32"/>
  <c r="K38" i="19"/>
  <c r="K31" i="19"/>
  <c r="K16" i="8"/>
  <c r="I17" i="8"/>
  <c r="I28" i="8"/>
  <c r="K28" i="8" s="1"/>
  <c r="K87" i="23" l="1"/>
  <c r="I88" i="23"/>
  <c r="K64" i="24"/>
  <c r="I65" i="24"/>
  <c r="I76" i="38"/>
  <c r="K75" i="38"/>
  <c r="K80" i="21"/>
  <c r="I81" i="21"/>
  <c r="K71" i="42"/>
  <c r="I72" i="42"/>
  <c r="I49" i="19"/>
  <c r="K48" i="19"/>
  <c r="K79" i="40"/>
  <c r="I80" i="40"/>
  <c r="I84" i="39"/>
  <c r="K83" i="39"/>
  <c r="I71" i="35"/>
  <c r="K70" i="35"/>
  <c r="I70" i="32"/>
  <c r="K69" i="32"/>
  <c r="K39" i="19"/>
  <c r="K44" i="19"/>
  <c r="K32" i="19"/>
  <c r="K17" i="8"/>
  <c r="I18" i="8"/>
  <c r="I29" i="8"/>
  <c r="K29" i="8" s="1"/>
  <c r="K88" i="23" l="1"/>
  <c r="I89" i="23"/>
  <c r="K65" i="24"/>
  <c r="I66" i="24"/>
  <c r="I77" i="38"/>
  <c r="K76" i="38"/>
  <c r="I82" i="21"/>
  <c r="K81" i="21"/>
  <c r="K72" i="42"/>
  <c r="I73" i="42"/>
  <c r="I50" i="19"/>
  <c r="K49" i="19"/>
  <c r="I81" i="40"/>
  <c r="K80" i="40"/>
  <c r="I85" i="39"/>
  <c r="K84" i="39"/>
  <c r="I72" i="35"/>
  <c r="K71" i="35"/>
  <c r="K70" i="32"/>
  <c r="I71" i="32"/>
  <c r="K40" i="19"/>
  <c r="K18" i="8"/>
  <c r="I19" i="8"/>
  <c r="I30" i="8"/>
  <c r="K30" i="8" s="1"/>
  <c r="I90" i="23" l="1"/>
  <c r="K89" i="23"/>
  <c r="K66" i="24"/>
  <c r="I67" i="24"/>
  <c r="K67" i="24" s="1"/>
  <c r="K71" i="24" s="1"/>
  <c r="K77" i="38"/>
  <c r="I78" i="38"/>
  <c r="K82" i="21"/>
  <c r="I83" i="21"/>
  <c r="K73" i="42"/>
  <c r="I74" i="42"/>
  <c r="I51" i="19"/>
  <c r="K50" i="19"/>
  <c r="I82" i="40"/>
  <c r="K81" i="40"/>
  <c r="I86" i="39"/>
  <c r="K85" i="39"/>
  <c r="I73" i="35"/>
  <c r="K72" i="35"/>
  <c r="I72" i="32"/>
  <c r="K71" i="32"/>
  <c r="K41" i="19"/>
  <c r="I20" i="8"/>
  <c r="K19" i="8"/>
  <c r="I31" i="8"/>
  <c r="K31" i="8" s="1"/>
  <c r="I91" i="23" l="1"/>
  <c r="K90" i="23"/>
  <c r="K78" i="38"/>
  <c r="I79" i="38"/>
  <c r="K83" i="21"/>
  <c r="I84" i="21"/>
  <c r="I75" i="42"/>
  <c r="K74" i="42"/>
  <c r="I52" i="19"/>
  <c r="K51" i="19"/>
  <c r="I83" i="40"/>
  <c r="K82" i="40"/>
  <c r="I87" i="39"/>
  <c r="K86" i="39"/>
  <c r="K73" i="35"/>
  <c r="I74" i="35"/>
  <c r="I73" i="32"/>
  <c r="K72" i="32"/>
  <c r="K42" i="19"/>
  <c r="K20" i="8"/>
  <c r="I21" i="8"/>
  <c r="I32" i="8"/>
  <c r="K32" i="8" s="1"/>
  <c r="I92" i="23" l="1"/>
  <c r="K91" i="23"/>
  <c r="I80" i="38"/>
  <c r="K79" i="38"/>
  <c r="K84" i="21"/>
  <c r="I85" i="21"/>
  <c r="I76" i="42"/>
  <c r="K75" i="42"/>
  <c r="I53" i="19"/>
  <c r="K52" i="19"/>
  <c r="K83" i="40"/>
  <c r="I84" i="40"/>
  <c r="I88" i="39"/>
  <c r="K87" i="39"/>
  <c r="I75" i="35"/>
  <c r="K74" i="35"/>
  <c r="K73" i="32"/>
  <c r="I74" i="32"/>
  <c r="K43" i="19"/>
  <c r="K21" i="8"/>
  <c r="I22" i="8"/>
  <c r="K22" i="8" s="1"/>
  <c r="I33" i="8"/>
  <c r="K33" i="8" s="1"/>
  <c r="G12" i="4"/>
  <c r="G11" i="4"/>
  <c r="I93" i="23" l="1"/>
  <c r="K92" i="23"/>
  <c r="K80" i="38"/>
  <c r="I81" i="38"/>
  <c r="K85" i="21"/>
  <c r="I86" i="21"/>
  <c r="I77" i="42"/>
  <c r="K77" i="42" s="1"/>
  <c r="K76" i="42"/>
  <c r="I54" i="19"/>
  <c r="I55" i="19" s="1"/>
  <c r="K53" i="19"/>
  <c r="I85" i="40"/>
  <c r="K84" i="40"/>
  <c r="I89" i="39"/>
  <c r="K88" i="39"/>
  <c r="I11" i="4"/>
  <c r="I12" i="4" s="1"/>
  <c r="K12" i="4" s="1"/>
  <c r="I76" i="35"/>
  <c r="K75" i="35"/>
  <c r="K74" i="32"/>
  <c r="I75" i="32"/>
  <c r="I34" i="8"/>
  <c r="K34" i="8" s="1"/>
  <c r="I94" i="23" l="1"/>
  <c r="K93" i="23"/>
  <c r="K11" i="4"/>
  <c r="K54" i="19"/>
  <c r="K81" i="38"/>
  <c r="I82" i="38"/>
  <c r="I87" i="21"/>
  <c r="K86" i="21"/>
  <c r="I56" i="19"/>
  <c r="K55" i="19"/>
  <c r="K85" i="40"/>
  <c r="I86" i="40"/>
  <c r="I90" i="39"/>
  <c r="K89" i="39"/>
  <c r="I77" i="35"/>
  <c r="K77" i="35" s="1"/>
  <c r="K76" i="35"/>
  <c r="I76" i="32"/>
  <c r="K76" i="32" s="1"/>
  <c r="K75" i="32"/>
  <c r="I35" i="8"/>
  <c r="K35" i="8" s="1"/>
  <c r="K94" i="23" l="1"/>
  <c r="I95" i="23"/>
  <c r="K82" i="38"/>
  <c r="I83" i="38"/>
  <c r="K87" i="21"/>
  <c r="I88" i="21"/>
  <c r="I57" i="19"/>
  <c r="K56" i="19"/>
  <c r="I87" i="40"/>
  <c r="K86" i="40"/>
  <c r="I91" i="39"/>
  <c r="K90" i="39"/>
  <c r="I36" i="8"/>
  <c r="K95" i="23" l="1"/>
  <c r="I96" i="23"/>
  <c r="I84" i="38"/>
  <c r="K83" i="38"/>
  <c r="K88" i="21"/>
  <c r="I89" i="21"/>
  <c r="I58" i="19"/>
  <c r="K57" i="19"/>
  <c r="I88" i="40"/>
  <c r="K87" i="40"/>
  <c r="I92" i="39"/>
  <c r="K91" i="39"/>
  <c r="K36" i="8"/>
  <c r="I37" i="8"/>
  <c r="I38" i="8" s="1"/>
  <c r="I97" i="23" l="1"/>
  <c r="K97" i="23" s="1"/>
  <c r="K96" i="23"/>
  <c r="I85" i="38"/>
  <c r="K84" i="38"/>
  <c r="K89" i="21"/>
  <c r="I90" i="21"/>
  <c r="I59" i="19"/>
  <c r="K58" i="19"/>
  <c r="I89" i="40"/>
  <c r="K88" i="40"/>
  <c r="I93" i="39"/>
  <c r="K92" i="39"/>
  <c r="K38" i="8"/>
  <c r="I39" i="8"/>
  <c r="K37" i="8"/>
  <c r="I86" i="38" l="1"/>
  <c r="K85" i="38"/>
  <c r="I91" i="21"/>
  <c r="K90" i="21"/>
  <c r="I60" i="19"/>
  <c r="K59" i="19"/>
  <c r="I90" i="40"/>
  <c r="K89" i="40"/>
  <c r="K93" i="39"/>
  <c r="I94" i="39"/>
  <c r="I40" i="8"/>
  <c r="K39" i="8"/>
  <c r="K86" i="38" l="1"/>
  <c r="I87" i="38"/>
  <c r="K91" i="21"/>
  <c r="I92" i="21"/>
  <c r="I61" i="19"/>
  <c r="K60" i="19"/>
  <c r="I91" i="40"/>
  <c r="K91" i="40" s="1"/>
  <c r="K90" i="40"/>
  <c r="I95" i="39"/>
  <c r="K95" i="39" s="1"/>
  <c r="K94" i="39"/>
  <c r="K40" i="8"/>
  <c r="I41" i="8"/>
  <c r="I88" i="38" l="1"/>
  <c r="K87" i="38"/>
  <c r="K92" i="21"/>
  <c r="I93" i="21"/>
  <c r="I62" i="19"/>
  <c r="K61" i="19"/>
  <c r="I42" i="8"/>
  <c r="K41" i="8"/>
  <c r="K88" i="38" l="1"/>
  <c r="I89" i="38"/>
  <c r="K93" i="21"/>
  <c r="I94" i="21"/>
  <c r="K94" i="21" s="1"/>
  <c r="I63" i="19"/>
  <c r="K62" i="19"/>
  <c r="K42" i="8"/>
  <c r="I43" i="8"/>
  <c r="I90" i="38" l="1"/>
  <c r="K89" i="38"/>
  <c r="I64" i="19"/>
  <c r="K63" i="19"/>
  <c r="K43" i="8"/>
  <c r="I44" i="8"/>
  <c r="K90" i="38" l="1"/>
  <c r="I91" i="38"/>
  <c r="I65" i="19"/>
  <c r="K64" i="19"/>
  <c r="K44" i="8"/>
  <c r="I45" i="8"/>
  <c r="I92" i="38" l="1"/>
  <c r="K91" i="38"/>
  <c r="I66" i="19"/>
  <c r="K65" i="19"/>
  <c r="I46" i="8"/>
  <c r="K45" i="8"/>
  <c r="I93" i="38" l="1"/>
  <c r="K92" i="38"/>
  <c r="I67" i="19"/>
  <c r="K66" i="19"/>
  <c r="K46" i="8"/>
  <c r="I47" i="8"/>
  <c r="I94" i="38" l="1"/>
  <c r="K93" i="38"/>
  <c r="I68" i="19"/>
  <c r="K67" i="19"/>
  <c r="K47" i="8"/>
  <c r="I48" i="8"/>
  <c r="I95" i="38" l="1"/>
  <c r="K95" i="38" s="1"/>
  <c r="K94" i="38"/>
  <c r="I69" i="19"/>
  <c r="K68" i="19"/>
  <c r="I49" i="8"/>
  <c r="K48" i="8"/>
  <c r="I70" i="19" l="1"/>
  <c r="K69" i="19"/>
  <c r="I50" i="8"/>
  <c r="K49" i="8"/>
  <c r="G13" i="4"/>
  <c r="I71" i="19" l="1"/>
  <c r="K70" i="19"/>
  <c r="I13" i="4"/>
  <c r="I14" i="4" s="1"/>
  <c r="G22" i="4"/>
  <c r="K22" i="4" s="1"/>
  <c r="K50" i="8"/>
  <c r="I51" i="8"/>
  <c r="I25" i="4"/>
  <c r="K25" i="4" s="1"/>
  <c r="K13" i="4"/>
  <c r="K14" i="4" l="1"/>
  <c r="I15" i="4"/>
  <c r="I72" i="19"/>
  <c r="K71" i="19"/>
  <c r="I26" i="4"/>
  <c r="I27" i="4" s="1"/>
  <c r="I28" i="4" s="1"/>
  <c r="I29" i="4" s="1"/>
  <c r="I30" i="4" s="1"/>
  <c r="I31" i="4" s="1"/>
  <c r="I32" i="4" s="1"/>
  <c r="K51" i="8"/>
  <c r="I52" i="8"/>
  <c r="K15" i="4" l="1"/>
  <c r="I16" i="4"/>
  <c r="I73" i="19"/>
  <c r="K72" i="19"/>
  <c r="I33" i="4"/>
  <c r="K26" i="4"/>
  <c r="I53" i="8"/>
  <c r="K52" i="8"/>
  <c r="K27" i="4"/>
  <c r="I17" i="4" l="1"/>
  <c r="K16" i="4"/>
  <c r="I74" i="19"/>
  <c r="K73" i="19"/>
  <c r="I34" i="4"/>
  <c r="K34" i="4" s="1"/>
  <c r="K33" i="4"/>
  <c r="I54" i="8"/>
  <c r="K53" i="8"/>
  <c r="K28" i="4"/>
  <c r="I18" i="4" l="1"/>
  <c r="K17" i="4"/>
  <c r="I75" i="19"/>
  <c r="K74" i="19"/>
  <c r="I35" i="4"/>
  <c r="K35" i="4" s="1"/>
  <c r="K54" i="8"/>
  <c r="I55" i="8"/>
  <c r="K29" i="4"/>
  <c r="I19" i="4" l="1"/>
  <c r="K18" i="4"/>
  <c r="I76" i="19"/>
  <c r="K75" i="19"/>
  <c r="I36" i="4"/>
  <c r="K36" i="4" s="1"/>
  <c r="K55" i="8"/>
  <c r="I56" i="8"/>
  <c r="K30" i="4"/>
  <c r="I20" i="4" l="1"/>
  <c r="K19" i="4"/>
  <c r="I77" i="19"/>
  <c r="K76" i="19"/>
  <c r="I37" i="4"/>
  <c r="K37" i="4" s="1"/>
  <c r="K56" i="8"/>
  <c r="I57" i="8"/>
  <c r="K31" i="4"/>
  <c r="I21" i="4" l="1"/>
  <c r="K21" i="4" s="1"/>
  <c r="K20" i="4"/>
  <c r="I78" i="19"/>
  <c r="K77" i="19"/>
  <c r="I38" i="4"/>
  <c r="K38" i="4" s="1"/>
  <c r="I58" i="8"/>
  <c r="K57" i="8"/>
  <c r="K32" i="4"/>
  <c r="I79" i="19" l="1"/>
  <c r="K78" i="19"/>
  <c r="I39" i="4"/>
  <c r="K39" i="4" s="1"/>
  <c r="K58" i="8"/>
  <c r="I59" i="8"/>
  <c r="I80" i="19" l="1"/>
  <c r="K79" i="19"/>
  <c r="I40" i="4"/>
  <c r="K40" i="4" s="1"/>
  <c r="K59" i="8"/>
  <c r="I60" i="8"/>
  <c r="I61" i="8" s="1"/>
  <c r="K61" i="8" l="1"/>
  <c r="I62" i="8"/>
  <c r="K60" i="8"/>
  <c r="I116" i="8"/>
  <c r="I81" i="19"/>
  <c r="K80" i="19"/>
  <c r="I41" i="4"/>
  <c r="K41" i="4" s="1"/>
  <c r="I63" i="8" l="1"/>
  <c r="K62" i="8"/>
  <c r="I117" i="8"/>
  <c r="K117" i="8" s="1"/>
  <c r="K116" i="8"/>
  <c r="I82" i="19"/>
  <c r="K82" i="19" s="1"/>
  <c r="K81" i="19"/>
  <c r="I42" i="4"/>
  <c r="K42" i="4" s="1"/>
  <c r="I64" i="8" l="1"/>
  <c r="K63" i="8"/>
  <c r="I43" i="4"/>
  <c r="K43" i="4" s="1"/>
  <c r="I65" i="8" l="1"/>
  <c r="K64" i="8"/>
  <c r="I44" i="4"/>
  <c r="K44" i="4" s="1"/>
  <c r="I66" i="8" l="1"/>
  <c r="K65" i="8"/>
  <c r="I45" i="4"/>
  <c r="K45" i="4" s="1"/>
  <c r="I67" i="8" l="1"/>
  <c r="K66" i="8"/>
  <c r="I46" i="4"/>
  <c r="K46" i="4" s="1"/>
  <c r="I68" i="8" l="1"/>
  <c r="K67" i="8"/>
  <c r="I47" i="4"/>
  <c r="K47" i="4" s="1"/>
  <c r="I69" i="8" l="1"/>
  <c r="K68" i="8"/>
  <c r="I48" i="4"/>
  <c r="K48" i="4" s="1"/>
  <c r="I70" i="8" l="1"/>
  <c r="K69" i="8"/>
  <c r="I49" i="4"/>
  <c r="K49" i="4" s="1"/>
  <c r="I71" i="8" l="1"/>
  <c r="K70" i="8"/>
  <c r="I50" i="4"/>
  <c r="K50" i="4" s="1"/>
  <c r="I72" i="8" l="1"/>
  <c r="K71" i="8"/>
  <c r="I51" i="4"/>
  <c r="K51" i="4" s="1"/>
  <c r="I73" i="8" l="1"/>
  <c r="K72" i="8"/>
  <c r="I52" i="4"/>
  <c r="K52" i="4" s="1"/>
  <c r="I74" i="8" l="1"/>
  <c r="K73" i="8"/>
  <c r="I53" i="4"/>
  <c r="K53" i="4" s="1"/>
  <c r="I75" i="8" l="1"/>
  <c r="K74" i="8"/>
  <c r="I54" i="4"/>
  <c r="K54" i="4" s="1"/>
  <c r="I76" i="8" l="1"/>
  <c r="K75" i="8"/>
  <c r="I55" i="4"/>
  <c r="K55" i="4" s="1"/>
  <c r="I77" i="8" l="1"/>
  <c r="K76" i="8"/>
  <c r="I56" i="4"/>
  <c r="K56" i="4" s="1"/>
  <c r="I78" i="8" l="1"/>
  <c r="K77" i="8"/>
  <c r="I57" i="4"/>
  <c r="K57" i="4" s="1"/>
  <c r="I79" i="8" l="1"/>
  <c r="K78" i="8"/>
  <c r="I58" i="4"/>
  <c r="K58" i="4" s="1"/>
  <c r="I80" i="8" l="1"/>
  <c r="K79" i="8"/>
  <c r="I59" i="4"/>
  <c r="K59" i="4" s="1"/>
  <c r="I81" i="8" l="1"/>
  <c r="K80" i="8"/>
  <c r="I60" i="4"/>
  <c r="K60" i="4" s="1"/>
  <c r="I82" i="8" l="1"/>
  <c r="K81" i="8"/>
  <c r="I61" i="4"/>
  <c r="K61" i="4" s="1"/>
  <c r="I83" i="8" l="1"/>
  <c r="K82" i="8"/>
  <c r="I62" i="4"/>
  <c r="K62" i="4" s="1"/>
  <c r="I84" i="8" l="1"/>
  <c r="K83" i="8"/>
  <c r="I63" i="4"/>
  <c r="K63" i="4" s="1"/>
  <c r="I85" i="8" l="1"/>
  <c r="K84" i="8"/>
  <c r="I64" i="4"/>
  <c r="K64" i="4" s="1"/>
  <c r="I86" i="8" l="1"/>
  <c r="K85" i="8"/>
  <c r="I65" i="4"/>
  <c r="K65" i="4" s="1"/>
  <c r="I87" i="8" l="1"/>
  <c r="K86" i="8"/>
  <c r="I66" i="4"/>
  <c r="K66" i="4" s="1"/>
  <c r="I88" i="8" l="1"/>
  <c r="K87" i="8"/>
  <c r="I67" i="4"/>
  <c r="K67" i="4" s="1"/>
  <c r="I89" i="8" l="1"/>
  <c r="K88" i="8"/>
  <c r="I68" i="4"/>
  <c r="K68" i="4" s="1"/>
  <c r="I90" i="8" l="1"/>
  <c r="K89" i="8"/>
  <c r="I69" i="4"/>
  <c r="K69" i="4" s="1"/>
  <c r="I91" i="8" l="1"/>
  <c r="K90" i="8"/>
  <c r="G3" i="4"/>
  <c r="G3" i="26"/>
  <c r="I92" i="8" l="1"/>
  <c r="K91" i="8"/>
  <c r="I93" i="8" l="1"/>
  <c r="K92" i="8"/>
  <c r="I94" i="8" l="1"/>
  <c r="K93" i="8"/>
  <c r="I95" i="8" l="1"/>
  <c r="K94" i="8"/>
  <c r="I96" i="8" l="1"/>
  <c r="K95" i="8"/>
  <c r="I97" i="8" l="1"/>
  <c r="K96" i="8"/>
  <c r="I98" i="8" l="1"/>
  <c r="K97" i="8"/>
  <c r="I99" i="8" l="1"/>
  <c r="K98" i="8"/>
  <c r="I100" i="8" l="1"/>
  <c r="K99" i="8"/>
  <c r="I101" i="8" l="1"/>
  <c r="K100" i="8"/>
  <c r="I102" i="8" l="1"/>
  <c r="K101" i="8"/>
  <c r="I103" i="8" l="1"/>
  <c r="K102" i="8"/>
  <c r="I104" i="8" l="1"/>
  <c r="K103" i="8"/>
  <c r="I105" i="8" l="1"/>
  <c r="K104" i="8"/>
  <c r="I106" i="8" l="1"/>
  <c r="K105" i="8"/>
  <c r="I107" i="8" l="1"/>
  <c r="K106" i="8"/>
  <c r="I108" i="8" l="1"/>
  <c r="K107" i="8"/>
  <c r="I109" i="8" l="1"/>
  <c r="K108" i="8"/>
  <c r="I110" i="8" l="1"/>
  <c r="K109" i="8"/>
  <c r="I111" i="8" l="1"/>
  <c r="K110" i="8"/>
  <c r="I112" i="8" l="1"/>
  <c r="K111" i="8"/>
  <c r="I113" i="8" l="1"/>
  <c r="K112" i="8"/>
  <c r="I114" i="8" l="1"/>
  <c r="K113" i="8"/>
  <c r="I115" i="8" l="1"/>
  <c r="K115" i="8" s="1"/>
  <c r="K114" i="8"/>
</calcChain>
</file>

<file path=xl/sharedStrings.xml><?xml version="1.0" encoding="utf-8"?>
<sst xmlns="http://purl.oclc.org/ooxml/spreadsheetml/main" count="2178" uniqueCount="692">
  <si>
    <t>Basis:</t>
  </si>
  <si>
    <t>Current Price &gt;&gt;</t>
  </si>
  <si>
    <t># shares</t>
  </si>
  <si>
    <t>PURCHASES/PUTS/DIV</t>
  </si>
  <si>
    <t>BASIS</t>
  </si>
  <si>
    <t>Basis/sh</t>
  </si>
  <si>
    <t>Date</t>
  </si>
  <si>
    <t>Avg Cost</t>
  </si>
  <si>
    <t>Amount</t>
  </si>
  <si>
    <t xml:space="preserve">Purchase  </t>
  </si>
  <si>
    <t>expired</t>
  </si>
  <si>
    <t>Description</t>
  </si>
  <si>
    <t>TSLA</t>
  </si>
  <si>
    <t>stock split 3:1</t>
  </si>
  <si>
    <t>stock split 5:1</t>
  </si>
  <si>
    <t>conversion 50 SCTY to 5 TSLA</t>
  </si>
  <si>
    <t>RIVN</t>
  </si>
  <si>
    <t>100 28 JUN 24 11.5 CALL @.58</t>
  </si>
  <si>
    <t>100 19 APR 24 10 PUT @.42</t>
  </si>
  <si>
    <t>100 28 JUN 24 9.5 PUT @.43</t>
  </si>
  <si>
    <t>100 14 JUN 24 10 PUT @.10</t>
  </si>
  <si>
    <t>PYPL</t>
  </si>
  <si>
    <t>NVDA</t>
  </si>
  <si>
    <t>BTO</t>
  </si>
  <si>
    <t>Dividend</t>
  </si>
  <si>
    <t>Stock Split</t>
  </si>
  <si>
    <t>STC</t>
  </si>
  <si>
    <t>Stock Split (@$120.88)</t>
  </si>
  <si>
    <t xml:space="preserve">Dividend $1.11 </t>
  </si>
  <si>
    <t>Dividend $1.19</t>
  </si>
  <si>
    <t>Dividend $1.08</t>
  </si>
  <si>
    <t>Dividend $1.17</t>
  </si>
  <si>
    <t>Dividend $1.10</t>
  </si>
  <si>
    <t>Dividend $1.07</t>
  </si>
  <si>
    <t>Dividend $1.09</t>
  </si>
  <si>
    <t>BA</t>
  </si>
  <si>
    <t>Buy</t>
  </si>
  <si>
    <t>Roll to 12 Jul because spiked up to $240 on news of deliveries!</t>
  </si>
  <si>
    <t>GDX</t>
  </si>
  <si>
    <t>DTE</t>
  </si>
  <si>
    <t>200 28 JUN 24 9.5 PUT @.23</t>
  </si>
  <si>
    <t>100 ROLL 5 JUL/28 JUN 24 19/11.5 CALL</t>
  </si>
  <si>
    <t>400 23 AUG 24 11.5 PUT @.12</t>
  </si>
  <si>
    <t>400 2 AUG 24 14.5 ROCT PUT @.17</t>
  </si>
  <si>
    <t>100 23 AUG 24 20 CALL @.43</t>
  </si>
  <si>
    <t xml:space="preserve">SELL -3 NVDA 100 9 AUG 24 75 PUT @ .22 </t>
  </si>
  <si>
    <t>SELL -4 GDX 100 2 AUG 24 36 PUT @.24</t>
  </si>
  <si>
    <t>SELL -4 GDX 100 9 AUG 24 34 PUT @.21</t>
  </si>
  <si>
    <t>OXY</t>
  </si>
  <si>
    <t>SELL -4 OXY 100 2 AUG 24 59 PUT @.36</t>
  </si>
  <si>
    <t>SELL -1 OXY 100 30 AUG 24 55 PUT @.26</t>
  </si>
  <si>
    <t>EXPIRED</t>
  </si>
  <si>
    <t>ASSIGNED</t>
  </si>
  <si>
    <t>SELL -4 OXY 100 16 AUG 24 59 CALL @.63</t>
  </si>
  <si>
    <t xml:space="preserve">SELL -1 NVDA 100 6 SEP 24 100 PUT @ .62 </t>
  </si>
  <si>
    <t>SELL -2 RIVN 100 13 SEP 12 PUT @.16</t>
  </si>
  <si>
    <t>SELL -2 RIVN 100 27 SEP 11.5 PUT @.25</t>
  </si>
  <si>
    <t>Roll from 28 Jun exp (5/31 date)</t>
  </si>
  <si>
    <t>SELL -1 OXY 100 6 SEP 24 56 PUT @.42</t>
  </si>
  <si>
    <t>SELL -1 OXY 100 13 SEP 24 54 PUT @.32</t>
  </si>
  <si>
    <t>INTC</t>
  </si>
  <si>
    <t>SELL -4 INTC 100 9 AUG 24 17 PUT @.05</t>
  </si>
  <si>
    <t>SELL -1 INTC 100 13 SEP 24 18.5 PUT @.14</t>
  </si>
  <si>
    <t>assigned from 7/23/24 put</t>
  </si>
  <si>
    <t>Assigned 100 put shares</t>
  </si>
  <si>
    <t>Assigned 400 put shares</t>
  </si>
  <si>
    <t>assigned from 8/29/24 put</t>
  </si>
  <si>
    <t>assigned from 9/3/24 put</t>
  </si>
  <si>
    <t>SELL -6 OXY 100 20 SEP 24 53 CALL @.11</t>
  </si>
  <si>
    <t>LULU</t>
  </si>
  <si>
    <t>SELL -5 GDX 100 23 AUG 24 35.5 PUT @.21</t>
  </si>
  <si>
    <t>SELL -5 GDX 100 30 AUG 24 38 PUT @.20</t>
  </si>
  <si>
    <t>SELL -1 GDX 100 13 SEP 24 36.5 PUT @.44</t>
  </si>
  <si>
    <t>SELL -6 OXY 100 27 SEP 24 53 CALL @.14</t>
  </si>
  <si>
    <t>SELL -1 GDX 100 27 SEP 24 39 PUT @.14</t>
  </si>
  <si>
    <t>SELL -1 SLV 100 13 SEP 24 25 PUT @.26</t>
  </si>
  <si>
    <t>SELL -2 SLV 100 4 OCT 24 28 PUT @.23</t>
  </si>
  <si>
    <t>SELL -5 OXY 100 4 OCT 24 51 PUT @.29</t>
  </si>
  <si>
    <t>SELL -5 OXY 100 11 OCT 24 51 PUT @.28</t>
  </si>
  <si>
    <t>SELL -6 OXY 100 4 OCT 24 56 CALL @.14</t>
  </si>
  <si>
    <t>SELL -1 TSLA 100 4 OCT 24 225 PUT @2.35</t>
  </si>
  <si>
    <t>SELL -4 TSLA 100 5 JUL 24 225 CALL @.16</t>
  </si>
  <si>
    <t>SELL -4 TSLA 100 12 JUL 24 225 CALL @1.6</t>
  </si>
  <si>
    <t>BUY +4 TSLA 100 12 JUL 24 225 CALL @38.42</t>
  </si>
  <si>
    <t>SELL -1 GDX 100 11 OCT 24 38.5 PUT @.25</t>
  </si>
  <si>
    <t>assigned from 19 apr put</t>
  </si>
  <si>
    <t>SELL -2 OXY 100 18 OCT 24 52 PUT @.29</t>
  </si>
  <si>
    <t>SELL -8 GDX 100 18 OCT 24 37 PUT @.25</t>
  </si>
  <si>
    <t>SELL -3 GDX 100 18 OCT 24 36.5 PUT @.19</t>
  </si>
  <si>
    <t>SELL -5 SLV 100 18 OCT 24 26.5 PUT @.15</t>
  </si>
  <si>
    <t>SELL -5 OXY 100 25 OCT 24 50 PUT @.26</t>
  </si>
  <si>
    <t>SELL -5 RIVN 100 4 OCT 24 10 PUT @.12</t>
  </si>
  <si>
    <t>SELL -1 RIVN 100 27 SEP 24 12 CALL @.32</t>
  </si>
  <si>
    <t>SELL -10 RIVN 100 11 OCT 24 10 PUT @.15</t>
  </si>
  <si>
    <t>SELL -20 RIVN 100 25 OCT 24 9 PUT @.06</t>
  </si>
  <si>
    <t>SELL -10 RIVN 100 15 NOV 24 8 PUT @.23</t>
  </si>
  <si>
    <t>SELL -1 RIVN 100 25 OCT 24 11.5 CALL @.10</t>
  </si>
  <si>
    <t>SELL -5 SLV 100 23 OCT 24 28 PUT @.11</t>
  </si>
  <si>
    <t>Sell</t>
  </si>
  <si>
    <t>Assigned 200 put shares</t>
  </si>
  <si>
    <t>assigned from 10/9/24 put</t>
  </si>
  <si>
    <t>SELL -6 OXY 100 18 OCT 24 53 CALL @.17</t>
  </si>
  <si>
    <t>SELL -2 GDX 100 1 NOV 24 42 PUT @.28</t>
  </si>
  <si>
    <t>SELL -4 SLV 100 1 NOV 24 28 PUT @.21</t>
  </si>
  <si>
    <t>SELL -3 GDX 100 1 NOV 24 42 PUT @.30</t>
  </si>
  <si>
    <t>NKE</t>
  </si>
  <si>
    <t>SELL -1 NKE 100 1 NOV 24 80 PUT @.51</t>
  </si>
  <si>
    <t>SELL -2 OXY 100 8 NOV 24 48 PUT @.30</t>
  </si>
  <si>
    <t>SELL -5 OXY 100 8 NOV 24 47.5 PUT @.27</t>
  </si>
  <si>
    <t>SELL -3 GDX 100 8 NOV 24 39 PUT @.23</t>
  </si>
  <si>
    <t>SELL -1 RIVN 100 8 NOV  24 13.5 CALL @.14</t>
  </si>
  <si>
    <t>SELL -1 PYPL 100 8 NOV 24 74 PUT @.36</t>
  </si>
  <si>
    <t>SELL -1 PYPL 200 12 JUL 24 55 PUT @.23</t>
  </si>
  <si>
    <t>SELL -1 PYPL 100 28 Jun 24 58 PUT @.20</t>
  </si>
  <si>
    <t>SELL -3 OXY 100 8 NOV 24 53 CALL @.13</t>
  </si>
  <si>
    <t>SELL -5 OXY 100 8 NOV 24 53 CALL @.14</t>
  </si>
  <si>
    <t>SELL -10 RIVN 100 8 NOV 24 7.5 PUT @.06</t>
  </si>
  <si>
    <t>SELL -1 SLV 100 8 NOV 24 29 PUT @.17</t>
  </si>
  <si>
    <t>SELL -4 SLV 100 8 NOV 24 29.5 PUT @.32</t>
  </si>
  <si>
    <t>SLV</t>
  </si>
  <si>
    <t>SMR</t>
  </si>
  <si>
    <t>SELL -7 SMR 100 8 NOV 24 14.5 PUT @.12</t>
  </si>
  <si>
    <t>assigned</t>
  </si>
  <si>
    <t>Assigned 1 NOV 24 42 PUT</t>
  </si>
  <si>
    <t>SELL -2 GDX 100 8 NOV 24 40 CALL @.94</t>
  </si>
  <si>
    <t>SELL -4 SLV 100 8 NOV 24 30 CALL @.48</t>
  </si>
  <si>
    <t>Assigned 1 NOV 24 80 PUT</t>
  </si>
  <si>
    <t>closed</t>
  </si>
  <si>
    <t>SELL -1 RIVN 100 8 NOV 24 8 PUT @.07</t>
  </si>
  <si>
    <t>SELL -1 SLV 100 8 NOV 24 28.5 PUT @.59</t>
  </si>
  <si>
    <t>Assigned 8 NOV 24 29.5 PUT</t>
  </si>
  <si>
    <t>SELL -1 SLV 100 8 NOV 24 29.5 PUT @.34</t>
  </si>
  <si>
    <t>SELL -2 GDX 100 15 NOV 24 38 CALL @.38</t>
  </si>
  <si>
    <t>SELL -9 SLV 100 15 NOV 24 28 CALL @.36</t>
  </si>
  <si>
    <t>SELL -1 NKE 100 8 NOV 24 80 CALL @.54</t>
  </si>
  <si>
    <t>SELL -1 NKE 100 8 NOV 24 79 CALL @.27</t>
  </si>
  <si>
    <t>SELL -5 OXY 100 15 NOV 24 48 PUT @.18</t>
  </si>
  <si>
    <t>SELL -4 RIVN 100 22 NOV 24 10 PUT @.17</t>
  </si>
  <si>
    <t>Assigned 19 APR 24 10 PUT</t>
  </si>
  <si>
    <t>SELL -9 RIVN 100 15 NOV 24 10 PUT @.06</t>
  </si>
  <si>
    <t>GOOG</t>
  </si>
  <si>
    <t>SELL -8 OXY 100 8 NOV 24 54 CALL @.18</t>
  </si>
  <si>
    <t>SELL -6 GDX 100 22 NOV 24 34 PUT @.16</t>
  </si>
  <si>
    <t>SELL -5 RIVN 100 22 NOV 24 9 PUT @.07</t>
  </si>
  <si>
    <t>ENPH</t>
  </si>
  <si>
    <t>CROX</t>
  </si>
  <si>
    <t>SELL -1 CROX 100 27 SEP 24 130 PUT @.40</t>
  </si>
  <si>
    <t>roll to 15 nov because spiked up to $317 after election. Elon will be czar for Dept of Gov Efficiency (DOGE)</t>
  </si>
  <si>
    <t>SELL -3 GDX 100 8 NOV 24 40 CALL @1.04</t>
  </si>
  <si>
    <t>SELL -3 GDX 100 18 NOV 24 37 CALL @.42</t>
  </si>
  <si>
    <t>SELL -1 NKE 100 29 NOV 24 73 PUT @.58</t>
  </si>
  <si>
    <t>SELL -1 NKE 100 29 NOV 24 78 CALL @.27</t>
  </si>
  <si>
    <t>SELL -1 SLV 100 22 NOV 24 28.5 CALL @.26</t>
  </si>
  <si>
    <t>SELL -1 CROX 100 22 NOV 24 93 PUT @.35</t>
  </si>
  <si>
    <t>SELL -1 ENPH 100 22 NOV 24 55 PUT @.53</t>
  </si>
  <si>
    <t>SELL -9 SLV 100 22 NOV 24 28 CALL @.49</t>
  </si>
  <si>
    <t>SELL -2 OXY 100 22 NOV 24 49 PUT @.26</t>
  </si>
  <si>
    <t>SELL -1 OXY 100 22 NOV 24 49.5 PUT @.17</t>
  </si>
  <si>
    <t>SELL -1 SLV 100 29 NOV 24 28 PUT @.17</t>
  </si>
  <si>
    <t>SELL -10 SLV 100 29 NOV 24 28 PUT @.45</t>
  </si>
  <si>
    <t>SELL -2 SLV 100 29 NOV 24 27 PUT @.12</t>
  </si>
  <si>
    <t>vertical roll to 80</t>
  </si>
  <si>
    <t>SELL -1 NKE 100 29 NOV 24 77 PUT @.19</t>
  </si>
  <si>
    <t>SELL -1 NKE 100 20 DEC 24 84 CALL @1.31</t>
  </si>
  <si>
    <t>SELL -1 OXY 100 6 DEC 24 48.5 PUT @.33</t>
  </si>
  <si>
    <t>roll to 17 Jan</t>
  </si>
  <si>
    <t>roll to 29 Nov</t>
  </si>
  <si>
    <t>roll to 22 Nov</t>
  </si>
  <si>
    <t>Comments</t>
  </si>
  <si>
    <t>Assigned 29 NOV 24 28 PUT</t>
  </si>
  <si>
    <t>SELL -6 SLV 100 9 DEC 24 27 PUT @.14</t>
  </si>
  <si>
    <t>SELL -1 NKE 100 13 DEC 24 77 PUT @.61</t>
  </si>
  <si>
    <t>SELL -4 GDX 100 8 NOV 24 38.5 PUT @.95</t>
  </si>
  <si>
    <t>SELL -2 GDX 100 29 NOV 24 36 PUT @.12</t>
  </si>
  <si>
    <t>Assigned  -4 SLV 100 1 NOV 24 28 PUT</t>
  </si>
  <si>
    <t>Assigned  -4 SLV 100 8 NOV 24 29.5 PUT</t>
  </si>
  <si>
    <t>Assigned  -4 SLV 100 8 NOV 24 29 PUT</t>
  </si>
  <si>
    <t>Assigned  -9 SLV 100 22 NOV 24 28 CALL</t>
  </si>
  <si>
    <t>Assigned  -10 SLV 100 29 NOV 24 28 PUT</t>
  </si>
  <si>
    <t>SELL -10 SLV 100 11 DEC 24 28 CALL @.40</t>
  </si>
  <si>
    <t>SELL -1 NKE 100 20 DEC 24 72 PUT @.93</t>
  </si>
  <si>
    <t>SELL -1 CROX 100 27 DEC 24 98 PUT @1.43</t>
  </si>
  <si>
    <t>Assigned 6 DEC 24 48.5 PUT</t>
  </si>
  <si>
    <t>SELL -2 OXY 100 13 DEC 24 48.5 PUT @.23</t>
  </si>
  <si>
    <t>SELL -1 OXY 100 13 DEC 24 47.5 PUT @.16</t>
  </si>
  <si>
    <t>SELL -1 NKE 100 20 DEC 24 69 PUT @.47</t>
  </si>
  <si>
    <t>SELL -4 GDX 100 29 NOV 24 37 PUT @.49</t>
  </si>
  <si>
    <t>SELL -1 GDX 100 29 NOV 24 37 PUT @.39</t>
  </si>
  <si>
    <t>SELL -2 GDX 100 22 NOV 24 37 CALL @.43</t>
  </si>
  <si>
    <t>SELL -5 GDX 100 13 DEC 24 36 PUT @.18</t>
  </si>
  <si>
    <t>Assigned -2 GDX 100 1 NOV 24 42 PUT</t>
  </si>
  <si>
    <t>Assisgned -2 GDX 100 22 NOV 24 37 CALL</t>
  </si>
  <si>
    <t>SELL -1 OXY 100 20 DEC 24 46 PUT @.16</t>
  </si>
  <si>
    <t>SELL -2 SLV 100 9 DEC 24 28.5 CALL @.23</t>
  </si>
  <si>
    <t>Assigned 9 DEC 24 28.5 CALL</t>
  </si>
  <si>
    <t>SELL -4 SLV 100 20 DEC 24 27 PUT @.12</t>
  </si>
  <si>
    <t>CONY</t>
  </si>
  <si>
    <t>GDXY</t>
  </si>
  <si>
    <t>TSLY</t>
  </si>
  <si>
    <t>SQY</t>
  </si>
  <si>
    <t>SELL -1 NKE 100 20 DEC 24 67 PUT @.28</t>
  </si>
  <si>
    <t>SELL -10 RIVN 100 20 DEC 24 10 PUT @.12</t>
  </si>
  <si>
    <t>SELL -1 RIVN 100 20 DEC  24 14 CALL @.14</t>
  </si>
  <si>
    <t>Divididend</t>
  </si>
  <si>
    <t>SELL -5 SLV 100 20 DEC 24 27 PUT @.12</t>
  </si>
  <si>
    <t>Assigned  -10 SLV 100 11 DEC 24 28 CALL</t>
  </si>
  <si>
    <t>Assigned  -5 SLV 100 20 DEC 24 27 PUT</t>
  </si>
  <si>
    <t>SELL -2 GDX 100 20 DEC 24 35.5 PUT @.21</t>
  </si>
  <si>
    <t>Assigned -2 GDX 100 20 DEC 24 35.5 PUT</t>
  </si>
  <si>
    <t>SELL -2 GDX 100 27 DEC 24 35 CALL  @.11</t>
  </si>
  <si>
    <t>SELL -5 SLV 100 27 DEC 24 27.5 CALL @.07</t>
  </si>
  <si>
    <t>SELL -1 RIVN 100 27 DEC  24 15.5 CALL @.07</t>
  </si>
  <si>
    <t>SELL -1 NKE 100 27 DEC 24 75 PUT @.25</t>
  </si>
  <si>
    <t>SELL -1 OXY 100 27 DEC 24 46.5 PUT @.16</t>
  </si>
  <si>
    <t>Assigned -4 SLV 100 20 DEC 24 27 PUT</t>
  </si>
  <si>
    <t>SELL -4 INTC 100 1 NOV 24 19 PUT @.11</t>
  </si>
  <si>
    <t>Assigned 18 NOV 24 37 CALL</t>
  </si>
  <si>
    <t>Assigned 20 DEC 24 34.5 PUT</t>
  </si>
  <si>
    <t>SELL -2 GDX 100 10 JAN 25 36.5 CALL @.13</t>
  </si>
  <si>
    <t>SELL -2 GDX 100 10 JAN 25 36.5 CALL  @.13</t>
  </si>
  <si>
    <t>SELL -1 RIVN 100 10 JAN 25 19.5 CALL @.11</t>
  </si>
  <si>
    <t>SELL -5 SLV 100 10 JAN 25 27.5 CALL @.18</t>
  </si>
  <si>
    <t>Assigned -5 SLV 100 10 JAN 25 27.5 CALL</t>
  </si>
  <si>
    <t>SELL -1 NKE 100 17 JAN 25 70 PUT @.17</t>
  </si>
  <si>
    <t>SELL -3 GDX 100 17 JAN 25 34 PUT @.11</t>
  </si>
  <si>
    <t>SELL -2 GDX 100 17 JAN 25 35.5 CALL  @.45</t>
  </si>
  <si>
    <t>SELL -5 SLV 100 17 JAN 25 26.5 PUT @.12</t>
  </si>
  <si>
    <t>SELL -1 RIVN 100 17 JAN 25 14.5 CALL @.12</t>
  </si>
  <si>
    <t>SELL -6 OXY 100 17 JAN 25 54 CALL @.23</t>
  </si>
  <si>
    <t>Assigned -2 GDX 100 17 JAN 25 35.5 CALL</t>
  </si>
  <si>
    <t>SELL -5 GDX 100 31 JAN 25 36 PUT @.21</t>
  </si>
  <si>
    <t>SELL -1 NKE 100 31 JAN 25 71 PUT @.39</t>
  </si>
  <si>
    <t>Assigned -4 SLV 100 10 JAN 25 27.5 CALL</t>
  </si>
  <si>
    <t>SELL -3 GDX 100 31 JAN 25 36 PUT @.21</t>
  </si>
  <si>
    <t>SELL -1 CROX 100 31 JAN 25 97 PUT @.55</t>
  </si>
  <si>
    <t>SELL -4 TSLA 100 8 NOV 24 280 CALL @.80</t>
  </si>
  <si>
    <t>SELL -4 CALENDAR TSLA 100 15 NOV 24/8 NOV 24 280 CALL @1.55</t>
  </si>
  <si>
    <t>SELL -4 CALENDAR TSLA 100 22 NOV 24/15 NOV 24 280 CALL @1.97</t>
  </si>
  <si>
    <t>SELL -4 CALENDAR TSLA 100 29 NOV 24/22 NOV 24 280 CALL @.70</t>
  </si>
  <si>
    <t>SELL -1 RIVN 100 31 JAN 25 12 PUT @.15</t>
  </si>
  <si>
    <t>SELL -2 GDX 100 31 JAN 25 38 CALL  @.68</t>
  </si>
  <si>
    <t>SELL -1 NKE 100 7 FEB 25 73 PUT @.52</t>
  </si>
  <si>
    <t>SELL -3 SLV 100 29 NOV 24 27 PUT @.12</t>
  </si>
  <si>
    <t>SELL -4 SLV 100 10 JAN 25 27.5 CALL @.18</t>
  </si>
  <si>
    <t>SELL -2 SLV 100 31 JAN 25 26.5 PUT @.08</t>
  </si>
  <si>
    <t>SELL -1 RIVN 100 7 FEB 25 11 PUT @.08</t>
  </si>
  <si>
    <t>SELL -1 RIVN 100 21 FEB 25 10 PUT @.14</t>
  </si>
  <si>
    <t xml:space="preserve">6/26 roll to 5 JUL after popped 50% on VW investment news. Roll to 5 Jul 24 19 CALL @-3.8. </t>
  </si>
  <si>
    <t>FMCC</t>
  </si>
  <si>
    <t>FNMA</t>
  </si>
  <si>
    <t>SELL -5 SLV 100 31 JAN 25 27.5 PUT @.26</t>
  </si>
  <si>
    <t>SELL -5 OXY 100 31 JAN 25 52 CALL @.25</t>
  </si>
  <si>
    <t>SELL -1 INTC 100 3 JAN 25 18.5 PUT @.13</t>
  </si>
  <si>
    <t>SELL -5 INTC 100 31 JAN 25 18.5 PUT @.14</t>
  </si>
  <si>
    <t>SELL -1 OXY 100 31 JAN 25 49 PUT @.27</t>
  </si>
  <si>
    <t>AVGO</t>
  </si>
  <si>
    <t>ARM</t>
  </si>
  <si>
    <t>SELL -1 AVGO 100 7 FEB 25 165 PUT @1.09</t>
  </si>
  <si>
    <t>SELL -1 ARM 100 7 FEB 25 110 PUT @.71</t>
  </si>
  <si>
    <t>on 1/31 roll to 7 feb 49 put</t>
  </si>
  <si>
    <t>SOLD -2 GDX 100 31 JAN 25 38 CALL</t>
  </si>
  <si>
    <t>vertical roll to 72</t>
  </si>
  <si>
    <t>SELL -5 SLV 100 14 FEB 25 28.5 PUT @.20</t>
  </si>
  <si>
    <t>SELL -1 NKE 100 7 FEB 25 70 PUT @.16</t>
  </si>
  <si>
    <t xml:space="preserve">7 FEB 25 70 PUT </t>
  </si>
  <si>
    <t>SELL -5 OXY 100 14 FEB 25 46.5 PUT @.09</t>
  </si>
  <si>
    <t>ROLL</t>
  </si>
  <si>
    <t>LRCX</t>
  </si>
  <si>
    <t>PUT EXPIRED</t>
  </si>
  <si>
    <t>PUT ASSIGNED</t>
  </si>
  <si>
    <t>CALL EXPIRED</t>
  </si>
  <si>
    <t>CALL ASSIGNED</t>
  </si>
  <si>
    <t>SELL -1 CALENDAR OXY 7 FEB 25/31 JAN 25 49 PUT @.13</t>
  </si>
  <si>
    <t>SELL -1 OXY 100 7 FEB 25 44.5 PUT @.13</t>
  </si>
  <si>
    <t>SELL -4 OXY 100 14 FEB 25 50 CALL @.17</t>
  </si>
  <si>
    <t>SELL -1 CALENDAR OXY 14 FEB 25/7 FEB 25 49 PUT @.08</t>
  </si>
  <si>
    <t>SELL -2 NKE 100 14 FEB 25 68 PUT @.17</t>
  </si>
  <si>
    <t>SELL -5 GDX 100 14 FEB 25 39 PUT @.22</t>
  </si>
  <si>
    <t>SELL -5 SLV 100 14 FEB 25 29 PUT @.14</t>
  </si>
  <si>
    <t>Current Price:</t>
  </si>
  <si>
    <t>Shlumberger</t>
  </si>
  <si>
    <t>roll</t>
  </si>
  <si>
    <t>SELL -8 SLV 100 14 FEB 25 28 PUT @.08</t>
  </si>
  <si>
    <t>SELL -2 SLV 100 28 FEB 25 28.5 PUT @.08</t>
  </si>
  <si>
    <t>SELL -4 SLV 100 28 FEB 25 28.5 PUT @.08</t>
  </si>
  <si>
    <t>Assigned  -2 SLV 100 28 FEB 25 28.5 CALL</t>
  </si>
  <si>
    <t>SELL -1 NKE 100 14 MAR 25 73 PUT @.18</t>
  </si>
  <si>
    <t>SELL -2 NKE 100 14 MAR 25 82 CALL @.25</t>
  </si>
  <si>
    <t>SELL -1 CALENDAR OXY 21 MAR 25/14 FEB 25 47.5/49 PUT @.41</t>
  </si>
  <si>
    <t>SELL -5 OXY 100 7 MAR 25 52 CALL @.13</t>
  </si>
  <si>
    <t>SELL -1 NKE 100 7 MAR 24 80 CALL @1.00</t>
  </si>
  <si>
    <t>SELL -1 NKE 100 14 MAR 24 81 CALL @.23</t>
  </si>
  <si>
    <t>SELL -1 NKE 100 14 MAR 24 72 PUT @.24</t>
  </si>
  <si>
    <t>SELL -1 DIAGONAL NKE 100 21 MAR 25/14 MAR 25 67.5/73 PUT @.40</t>
  </si>
  <si>
    <t>SELL -1 NKE 100 14 FEB 25/7 FEB 24 72/73 PUT @-.01</t>
  </si>
  <si>
    <t>CMG</t>
  </si>
  <si>
    <t>SELL -1 CMG 100 14 MAR 25 45.5 PUT @.12</t>
  </si>
  <si>
    <t>SELL -2 LRCX 100 21 FEB 25 76.5 PUT @.41</t>
  </si>
  <si>
    <t>SELL -5 LRCX 100 28 FEB 25 80 PUT @.51</t>
  </si>
  <si>
    <t>SELL -5 DIAGONAL LRCX 100 7 MAR 25/28 FEB 25 77.5/80 PUT @-.01</t>
  </si>
  <si>
    <t>SELL -5 DIAGONAL LRCX 100 21 MAR 25/7 MAR 25 75/77.5 PUT @.05</t>
  </si>
  <si>
    <t>SELL -1 LRCX 100 14 MAR 25 65 PUT @.20</t>
  </si>
  <si>
    <t>Lam Research</t>
  </si>
  <si>
    <t>SELL -1 SLV 100 14 MAR 25 28.5 PUT @.13</t>
  </si>
  <si>
    <t>SELL -2 SLV 100 7 MAR 25 28.5 CALL @.47</t>
  </si>
  <si>
    <t>Assigned  -2 SLV 100 7 MAR 25 28.5 CALL</t>
  </si>
  <si>
    <t>SELL -4 SLV 100 7 MAR 25 28.5 CALL @.57</t>
  </si>
  <si>
    <t>Assigned -4 SLV 100 7 MAR 25 28.5 CALL</t>
  </si>
  <si>
    <t>SELL -7 RIVN 100 7 MAR 25 10.5 PUT @.06</t>
  </si>
  <si>
    <t>SELL -1 RIVN 100 7 MAR 25 10 PUT @.04</t>
  </si>
  <si>
    <t>SELL -2 RIVN 100 7 MAR 25 10 PUT @.04</t>
  </si>
  <si>
    <t>SELL -5 RIVN 100 14 MAR 25 9.5 PUT @.05</t>
  </si>
  <si>
    <t>DHI</t>
  </si>
  <si>
    <t>SELL -1 DHI 100 28 FEB 25 123 PUT @.95</t>
  </si>
  <si>
    <t>SELL -1 DHI 100 7 MAR 25 116 PUT @.28</t>
  </si>
  <si>
    <t>SELL -1 DHI 100 14 MAR 25 126 PUT @.30</t>
  </si>
  <si>
    <t>AMAT</t>
  </si>
  <si>
    <t>SELL -1 DIAGONAL OXY 16 MAY 25/21 MAR 25 45/47.5 PUT @.12</t>
  </si>
  <si>
    <t>ODFL</t>
  </si>
  <si>
    <t>Rule1</t>
  </si>
  <si>
    <t>Roth</t>
  </si>
  <si>
    <t>SELL -6 OXY 100 17 APR 25 51 CALL @.49</t>
  </si>
  <si>
    <t>SELL -1 DIAGONAL OXY 16 MAY 25/17 APR 25 45/48 PUT @.03</t>
  </si>
  <si>
    <t>SELL -1 LRCX 100 28 MAR 25 71 PUT @.32</t>
  </si>
  <si>
    <t>SELL -2 LRCX 100 28 MAR 25 73 PUT @.17</t>
  </si>
  <si>
    <t>SELL -2 DIAGONAL LRCX 100 4 APR 25/28 MAR 25 73/70 PUT @.36</t>
  </si>
  <si>
    <t>SELL -2 SLV 100 28 MAR 25 29.5 PUT @.13</t>
  </si>
  <si>
    <t>SELL -1 SLV 100 4 APR 25 30.5 PUT @.45</t>
  </si>
  <si>
    <t>Assigned -1 SLV 100 4 APR 25 30.5 PUT</t>
  </si>
  <si>
    <t>SELL -1 SLV 100 17 APR 25 27.5 CALL @.71</t>
  </si>
  <si>
    <t>SELL -1 SLV 100 4 APR 25 30.5 PUT @.42</t>
  </si>
  <si>
    <t>SELL -1 SLV 100 17 APR 25 27.5 CALL @.74</t>
  </si>
  <si>
    <t>SELL -1 DIAGONAL OXY 18 DEC 26/17 APR 25 48/45 PUT @.34</t>
  </si>
  <si>
    <t>SELL -3 OXY 100 25 APR 25 40 CALL @.45</t>
  </si>
  <si>
    <t>PUT Assigned</t>
  </si>
  <si>
    <t>SELL -1 LRCX 100 11 APR 25 49 PUT @.17</t>
  </si>
  <si>
    <t>SELL -2 LRCX 100 11 APR 25 49 PUT @.20</t>
  </si>
  <si>
    <t>SELL -1 LRCX 100 11 APR 25 48 PUT @.17</t>
  </si>
  <si>
    <t>SELL -1 ARM 100 28 MAR 25 115 PUT @.28</t>
  </si>
  <si>
    <t>SELL -1 ARM 100 25 APR 25 83.5 PUT @.42</t>
  </si>
  <si>
    <t>Assigned put</t>
  </si>
  <si>
    <t>SELL -1 GDXY 100 16 MAY 25 16 PUT @.25</t>
  </si>
  <si>
    <t>SELL -3 AMAT 100 7 MAR 25 155 PUT @1.17</t>
  </si>
  <si>
    <t>SELL -3 DIAGONAL AMAT 100 21 MAR 25/7 MAR 25 150/155 PUT @.57</t>
  </si>
  <si>
    <t>SELL -3 DIAGONAL AMAT 100 16 MAY 25/21 MAR 25 135/150 PUT @.25</t>
  </si>
  <si>
    <t>SELL -3 DIAGONAL AMAT 100 19 SEP 25/16 MAY 25 120/135 PUT @.20</t>
  </si>
  <si>
    <t>SELL -1 AMAT 100 11 APR 25 105 PUT @.27</t>
  </si>
  <si>
    <t>SELL -1 AMAT 100 25 APR 25 125 PUT @.54</t>
  </si>
  <si>
    <t>SELL -2 SLV 100 21 APR 25 29 PUT @.11</t>
  </si>
  <si>
    <t>SELL -2 SLV 100 25 APR 25 28.5 PUT @.17</t>
  </si>
  <si>
    <t>Assigned  -1 SLV 100 17 APR 25 27.5 CALL</t>
  </si>
  <si>
    <t>SELL -5 GDX 100 21 FEB 25 40 PUT @.36</t>
  </si>
  <si>
    <t>SELL -2 GDX 100 17 APR 25 40 PUT @.96</t>
  </si>
  <si>
    <t>SELL -2 GDX 100 25 APR 25 47 PUT @.24</t>
  </si>
  <si>
    <t>SELL -10 RIVN 100 28 MAR 25 9.5 PUT @.05</t>
  </si>
  <si>
    <t>SELL -10 RIVN 100 11 APR 25 9.5 PUT @.07</t>
  </si>
  <si>
    <t>SELL -10 RIVN 100 2 MAY 25 9 PUT @.06</t>
  </si>
  <si>
    <t>SELL -1 DHI 100 28 MAR 25 123 PUT @.30</t>
  </si>
  <si>
    <t>SELL -1 NKE 100 21 MAR 25 85 CALL @.19</t>
  </si>
  <si>
    <t>SELL -1 NKE 100 28 MAR 25 65 PUT @.29</t>
  </si>
  <si>
    <t>SELL -1 DIAGONAL NKE 100 17 APR 25/28 MAR 25 62.5/65 PUT @.02</t>
  </si>
  <si>
    <t>SELL -1 CROX 100 21 FEB 25 102 PUT @.43</t>
  </si>
  <si>
    <t>SELL -1 CROX 100 2 MAY 25 75 PUT @.50</t>
  </si>
  <si>
    <t>SELL -2 LRCX 100 25 APR 25 49 PUT @.11</t>
  </si>
  <si>
    <t>SELL -1 LRCX 100 25 APR 25 48.5 PUT @.11</t>
  </si>
  <si>
    <t>SELL -1 AMAT 100 25 APR 25 116 PUT @.27</t>
  </si>
  <si>
    <t>SELL -1 AVGO 100 25 APR 25 139 PUT @.34</t>
  </si>
  <si>
    <t>SELL -2 RBLX 100 25 APR 25 51 PUT @.12</t>
  </si>
  <si>
    <t>SELL -2 ARM 100 25 APR 25 80 PUT @.20</t>
  </si>
  <si>
    <t>SELL -1 ARM 100 25 APR 25 107 CALL @.26</t>
  </si>
  <si>
    <t>SELL -1 BA 100 25 APR 25 134 PUT @.34</t>
  </si>
  <si>
    <t>Chipotle</t>
  </si>
  <si>
    <t>SELL -2 CMG 100 25 APR 25 38 PUT @.10</t>
  </si>
  <si>
    <t>SELL -1 VRT 100 28 MAR 25 78 PUT @.38</t>
  </si>
  <si>
    <t>SELL -1 DIAGONAL ARM 100 17 APR 25/28 MAR 25 110/115 PUT @.27</t>
  </si>
  <si>
    <t>SELL -1 SLV 100 2 MAY 25 28.5 PUT @.19</t>
  </si>
  <si>
    <t>SELL -1 GDX 100 2 MAY 25 47 PUT @.43</t>
  </si>
  <si>
    <t>SELL -1 DIAGONAL VRT 100 25 APR 25/28 MAR 25 70/78 PUT @.25</t>
  </si>
  <si>
    <t>SELL -1 DIAGONAL VRT 100 18 JUL 25/25 APR 25 60/70 PUT @.55</t>
  </si>
  <si>
    <t>SELL -1 VRT 100 25 APR 25 59 PUT @.75</t>
  </si>
  <si>
    <t>VRT</t>
  </si>
  <si>
    <t>Vertiv</t>
  </si>
  <si>
    <t>SELL -1 VST 100 28 MAR 25 116 PUT @.52</t>
  </si>
  <si>
    <t>VST</t>
  </si>
  <si>
    <t>SELL -1 DHI 100 28 MAR 25 120 PUT @.75</t>
  </si>
  <si>
    <t>SELL -4 DIAGONAL TSLA 100 17 JAN 25/29 NOV 24 360/280 CALL @-34.93</t>
  </si>
  <si>
    <t>SELL -4 DIAGONAL TSLA 100 24 JAN 25/17 JAN 25 450/360 CALL @-33.49</t>
  </si>
  <si>
    <t>SELL -4 VERTICAL TSLA 100 24 JAN 25/24 JAN 25 435/450 CALL @.48</t>
  </si>
  <si>
    <t>SELL -2 TSLA 100 14 MAR 25 280 CALL @.79</t>
  </si>
  <si>
    <t>SELL -2 TSLA 100 14 MAR 25 275 CALL @.65</t>
  </si>
  <si>
    <t>SELL -1 TSLA 100 28 MAR 25 262.5 CALL @1.95</t>
  </si>
  <si>
    <t>SELL -2 TSLA 100 28 MAR 25 265 CALL @1.22</t>
  </si>
  <si>
    <t>SELL -1 TSLA 100 28 MAR 25 270 CALL @.92</t>
  </si>
  <si>
    <t>SELL -2 DIAGONAL TSLA 100 17 APR 25/28 MAR 25 280/265 CALL @1.40</t>
  </si>
  <si>
    <t>SELL -1 DIAGONAL TSLA 100 25 APR 25/28 MAR 25 280/262.5 CALL @3.90</t>
  </si>
  <si>
    <t>SELL -3 TSLA 100 25 APR 25 290 CALL @1.31</t>
  </si>
  <si>
    <t>SELL -1 CALENDAR TSLA 280 2 MAY 25/25 APR 25 280 CALL @9.05</t>
  </si>
  <si>
    <t>SELL -1 V 100 25 APR 25 300 PUT @.73</t>
  </si>
  <si>
    <t>V</t>
  </si>
  <si>
    <t>Visa</t>
  </si>
  <si>
    <t>Assigned -1 SLV 100 17 APR 25 27.5 CALL</t>
  </si>
  <si>
    <t>SELL -5 GDX 100 28 FEB 25 39.5 PUT @.27</t>
  </si>
  <si>
    <t>SELL -4 GDX 100 7 MAR 25 38.5 PUT @.10</t>
  </si>
  <si>
    <t>SELL -1 GDX 100 28 MAR 25 42.5 PUT @.12</t>
  </si>
  <si>
    <t>SELL -4 GDX 100 17 APR 25 36.5 PUT @.21</t>
  </si>
  <si>
    <t>SELL -3 GDX 100 25 APR 25 47 PUT @.12</t>
  </si>
  <si>
    <t>Assigned  -4 SLV 100 28 FEB 25 28.5 PUT</t>
  </si>
  <si>
    <t>SELL -2 LRCX 100 2 MAY 25 62 PUT @.37</t>
  </si>
  <si>
    <t>AMZN</t>
  </si>
  <si>
    <t>AMAZON</t>
  </si>
  <si>
    <t>SELL -1 AMZN 100 9 MAY 25 155 PUT @.77</t>
  </si>
  <si>
    <t>SELL -10 RIVN 100 16 MAY 25 10 PUT @.06</t>
  </si>
  <si>
    <t>SELL -1 AMAT 100 9 MAY 25 134 PUT @.68</t>
  </si>
  <si>
    <t>SELL -2 AMZN 100 16 MAY 25 175 PUT @1.13</t>
  </si>
  <si>
    <t>SELL -1 ARM 100 9 MAY 25 83 PUT @.47</t>
  </si>
  <si>
    <t>SELL -1 ARM 100 9 MAY 25 82 PUT @.40</t>
  </si>
  <si>
    <t>SELL -1 CROX 100 9 MAY 25 72 PUT @.40</t>
  </si>
  <si>
    <t>SELL -1 GDX 100 9 MAY 25 45.5 PUT @.24</t>
  </si>
  <si>
    <t>SELL -1 DIAGONAL GDX 100 9 MAY 25/2 MAY 25 45.5/47 PUT @.24</t>
  </si>
  <si>
    <t>SELL -20 VERTICAL GOOG 100 17 APR 25 140/135 @.22</t>
  </si>
  <si>
    <t>BUY +20 VERTICAL GOOG 100 17 APR 25 140/135 @-.90</t>
  </si>
  <si>
    <t>SELL -20 VERTICAL GOOG 100 17 APR 25 135/130 @.21</t>
  </si>
  <si>
    <t>SELL -1 INTC 100 9 MAY 25 18 PUT @.14</t>
  </si>
  <si>
    <t>SELL -2 NVDA 100 7 FEB 25 95 PUT @ .58</t>
  </si>
  <si>
    <t>SELL -2 NVDA 100 7 MAR 25 100 PUT @ .57</t>
  </si>
  <si>
    <t>SELL -3 DIAGONAL OXY 23 MAY 26/25 APR 25 44/40 CALL @-.03</t>
  </si>
  <si>
    <t>Paypal</t>
  </si>
  <si>
    <t>Roblox</t>
  </si>
  <si>
    <t>RBLX</t>
  </si>
  <si>
    <t>SELL -4 SLV 100 9 MAY 25 28.5 PUT @.16</t>
  </si>
  <si>
    <t>SELL -4 SLV 100 20 DEC 24 26.5 PUT @.08</t>
  </si>
  <si>
    <t>SELL -5 SLV 100 9 MAY 25 28.5 PUT @.16</t>
  </si>
  <si>
    <t>SELL -1 DIAGONAL TSLA 100 9 MAY 25/2 MAY 25 285/280 CALL @4.55</t>
  </si>
  <si>
    <t>SELL -2 DIAGONAL TSLA 100 11 APR 25/17 APR 25 270/280 CALL @2.77</t>
  </si>
  <si>
    <t>SELL -1 DIAGONAL TSLA 100 16 MAY 25/9 MAY 25 295/285 CALL @1.50</t>
  </si>
  <si>
    <t>SELL -1 VRT 100 9 MAY 25 71 PUT @.36</t>
  </si>
  <si>
    <t>LULU Lemon</t>
  </si>
  <si>
    <t>SELL -1 LULU 100 16 MAY 25 247.5 PUT @1.51</t>
  </si>
  <si>
    <t>SELL -5 GDX 100 9 MAY 25 46 PUT @.30</t>
  </si>
  <si>
    <t>SELL -5 DIAGONAL GDX 100 16 MAY 25/9 MAY 25 45.5/46 PUT @.16</t>
  </si>
  <si>
    <t>SELL -2 GDX 100 23 MAY 25 44 PUT @.25</t>
  </si>
  <si>
    <t>SELL -5 GDX 100 23 MAY 25 44 PUT @.25</t>
  </si>
  <si>
    <t>SELL -1 LRCX 100 23 MAY 25 80 PUT @.53</t>
  </si>
  <si>
    <t>SELL -3 DIAGONAL OXY 15 AUG  25/23 MAY 25 47.5/44 CALL @-.37</t>
  </si>
  <si>
    <t>SELL -1 AMAT 100 30 MAY 25 146 PUT @.61</t>
  </si>
  <si>
    <t>SELL -1 LRCX 100 30 MAY 25 75 PUT @.35</t>
  </si>
  <si>
    <t>SELL -1 LULU 100 15 NOV 24 297.5 PUT @.80</t>
  </si>
  <si>
    <t>SELL -1 LULU 100 25 OCT 25 272.5 PUT @1.9</t>
  </si>
  <si>
    <t>SELL -1 LULU 100 11 OCT 25  255 PUT @2.43</t>
  </si>
  <si>
    <t>SELL -1 LULU 100 13 SEP 25 245 PUT @2.92</t>
  </si>
  <si>
    <t>SELL -1 LULU 100 27 JUN 25 215 PUT @.80</t>
  </si>
  <si>
    <t>SELL -2 LULU 100 3 JUL 25 210 PUT @1.43</t>
  </si>
  <si>
    <t>SELL -1 LULU 100 3 JUL 25 210 PUT @1.44</t>
  </si>
  <si>
    <t>SELL -1 LULU 100 3 JUL 25 207.5 PUT @1.20</t>
  </si>
  <si>
    <t>SELL -1 CROX 100 3 JUL 25 88 PUT @.49</t>
  </si>
  <si>
    <t>SELL -10 RIVN 100 3 JUL 25 12 PUT @.07</t>
  </si>
  <si>
    <t>HHH</t>
  </si>
  <si>
    <t>SELL -1 LRCX 100 6 JUN 25 78 PUT @.47</t>
  </si>
  <si>
    <t>SELL -1 LRCX 100 20 JUN 25 86 PUT @.55</t>
  </si>
  <si>
    <t>SELL -2 GDXY 100 21 FEB 25 15 PUT @.18</t>
  </si>
  <si>
    <t>LOW</t>
  </si>
  <si>
    <t>Lowe's</t>
  </si>
  <si>
    <t>SELL -1 LOW 100 23 MAY 25 215 PUT @1.30</t>
  </si>
  <si>
    <t>SELL -1 LOW 100 13 JUN 25 222.5 PUT @1.42</t>
  </si>
  <si>
    <t>SELL -2 CALENDAR LOW 100 20 JUN 25/13 JUN 25 222.5 PUT @1.12</t>
  </si>
  <si>
    <t>SELL -2 DIAGON LOW 100 17 OCT 25/20 JUN 25 210 PUT @.07</t>
  </si>
  <si>
    <t>SELL -1 DHI 100 23 MAY 25 120 PUT @.68</t>
  </si>
  <si>
    <t>SELL -1 DIAGONAL DHI 100 30 MAY 25/23 MAY 25 118/120 PUT @.01</t>
  </si>
  <si>
    <t>SELL -1 DIAGONAL DHI 100 6 JUN 25/30 MAY 25 116/118 PUT @.49</t>
  </si>
  <si>
    <t>TOL</t>
  </si>
  <si>
    <t>Toll Brothers</t>
  </si>
  <si>
    <t>SELL -1 GDXY 100 18 JUL 25 15 PUT @.55</t>
  </si>
  <si>
    <t>SELL -1 NKE 100 20 JUN 25 67.5 CALL @.25</t>
  </si>
  <si>
    <t>SELL -1 NKE 100 20 JUN 25 61 PUT @.40</t>
  </si>
  <si>
    <t>SELL -1 DIAGONAL NKE 100 27 JUN 25/20 JUN 25 57/61 PUT @.19</t>
  </si>
  <si>
    <t>SELL -2 NKE 100 20 JUN 25 70 CALL @.22</t>
  </si>
  <si>
    <t>SELL -2 DIAGONAL NKE 100 17 OCT 25/27 JUN 25 80/70 CALL @.12</t>
  </si>
  <si>
    <t>SELL -1 VRT 100 13 JUN 25 102 PUT @.61</t>
  </si>
  <si>
    <t>SELL -1 DIAGONAL VRT 100 20 JUN 25/18 JUL 25 101/60 PUT @.21</t>
  </si>
  <si>
    <t>Applied Materials</t>
  </si>
  <si>
    <t>SELL -1 CALENDAR ARM 100 2 MAY 25/25 APR 25 107/107 CALL @1.50</t>
  </si>
  <si>
    <t>SELL -1 DIAGONAL ARM 100 16 MAY 25/2 MAY 25 110/107 CALL @.12</t>
  </si>
  <si>
    <t>SELL -1 DIAGONAL ARM 100 30 MAY 25/16 MAY 25 112/110 CALL @.57</t>
  </si>
  <si>
    <t>SELL -1 DIAGONAL ARM 100 27 JUN 25/30 MAY 25 115/112 CALL @.03</t>
  </si>
  <si>
    <t>SELL -1 CALENDAR ARM 100 3 JUL 25/27 JUN 25 115 CALL @.13</t>
  </si>
  <si>
    <t>SELL -1 DIAGONAL ARM 100 19 SEP 25/3 JUL 25 120/115 CALL @.80</t>
  </si>
  <si>
    <t>1 aug @ 140</t>
  </si>
  <si>
    <t>1 aug @ 145</t>
  </si>
  <si>
    <t>1 aug @ 150</t>
  </si>
  <si>
    <t>SELL -1 TOL 100 23 MAY 25 97 PUT @.63</t>
  </si>
  <si>
    <t>SELL -1 DIAGONAL NKE 100 21 MAR 25/14 MAR 25 67/72 PUT @1.05</t>
  </si>
  <si>
    <t>SELL -1 NKE 100 27 JUN 25 70 CALL @.22</t>
  </si>
  <si>
    <t>SELL -1 DIAGONAL NKE 100 17 OCT 25/27 JUN 25 80/70 CALL @.18</t>
  </si>
  <si>
    <t>CLOSE</t>
  </si>
  <si>
    <t>CEG</t>
  </si>
  <si>
    <t>Constellation Energy</t>
  </si>
  <si>
    <t>SELL -1 CEG 100 11 JUL 25 287.5 PUT @1.34</t>
  </si>
  <si>
    <t>SELL -1 LULU 100 1 AUG 25 205 PUT @.91</t>
  </si>
  <si>
    <t>SELL -1 DIAGONAL TSLA 100 18 JUL25/16 MAY 25 320/295 CALL @2.25</t>
  </si>
  <si>
    <t>SELL -1 TSLA 100 18 JUL 25 322.5 CALL @1.71</t>
  </si>
  <si>
    <t>SELL -1 TSLA 100 18 JUL 25 340 CALL @.91</t>
  </si>
  <si>
    <t>SELL -1 DIAGONAL TSLA 100 25 JUL 25/18 JUL 25 337.5/320 CALL @.25</t>
  </si>
  <si>
    <t>SELL -1 DIAGONAL TSLA 100 25 JUL 25/18 JUL 25 345/322.5 CALL @.27</t>
  </si>
  <si>
    <t>SELL -1 DIAGONAL TSLA 100 1 AUG 25/25 JUL 25 345/337.5 CALL @.55</t>
  </si>
  <si>
    <t>SELL -2 TSLA 100 14 MAR 25 265 CALL @2.56</t>
  </si>
  <si>
    <t>SELL -2 TSLA 100 28 MAR 25 270 CALL @.92</t>
  </si>
  <si>
    <t>SELL -1 DIAGONAL TSLA 100 18 JUL 25/1 AUG 25 355/322.5 CALL @.27</t>
  </si>
  <si>
    <t>SELL -1 DIAGONAL LULU 100 8 AUG 25/1 AUG 25 200/205 PUT @.30</t>
  </si>
  <si>
    <t>SELL -1 DIAGONAL LULU 100 5 SEP 25/8 AUG 25 190/200 PUT @.47</t>
  </si>
  <si>
    <t>SELL -1 LULU 100 15 AUG 25 185 PUT @.99</t>
  </si>
  <si>
    <t>SELL -1 CROX 100 7 FEB 25 92 PUT @.21</t>
  </si>
  <si>
    <t>SELL -1 CROX 100 18 JUL 25 99 PUT @.50</t>
  </si>
  <si>
    <t>SELL -1 CROX 100 8 AUG 25 85 PUT @.51</t>
  </si>
  <si>
    <t>SELL -1 CROX 100 8 AUG 25 83 PUT @.45</t>
  </si>
  <si>
    <t>SELL -1 CALENDAR CROX 100 15 AUG 25/8 AUG 25 83 PUT @.05</t>
  </si>
  <si>
    <t>UNH</t>
  </si>
  <si>
    <t>United Healthcare</t>
  </si>
  <si>
    <t>SELL -1 UNH 100 25 JUL 25 280 PUT @1.02</t>
  </si>
  <si>
    <t>SELL -1 UNH 100 18 JUL 25 287.5 PUT @.69</t>
  </si>
  <si>
    <t>SELL -1 DIAGONAL UNH 100 25 JUL  25/18 JUL 25 282.5/287.5 PUT @.55</t>
  </si>
  <si>
    <t>SELL -1 DIAGONAL UNH 100 1 AUG 25/25 JUL  25 262.5/282.5 PUT @.04</t>
  </si>
  <si>
    <t>SELL -1 DIAGONAL UNH 100 8 AUG 25/1 AUG 25/25 JUL  25 257.5/262.5 PUT @-.01</t>
  </si>
  <si>
    <t>SELL -1 DIAGONAL UNH 100 16 JAN 26/8 AUG 25 230/257.5 PUT @.55</t>
  </si>
  <si>
    <t>Assigned 100 18 JUL 25 15 PUT</t>
  </si>
  <si>
    <t>Assigned 1 CROX 100 85 PUT</t>
  </si>
  <si>
    <t>SELL -1 CROX 100 15 AUG 25 70 PUT @.30</t>
  </si>
  <si>
    <t>SELL -1 CROX 100 15 AUG 25 83 CALL @.18</t>
  </si>
  <si>
    <t>`</t>
  </si>
  <si>
    <t>SELL -1 ENPH 100 22 AUG 24 25 PUT @.16</t>
  </si>
  <si>
    <t>Enphase</t>
  </si>
  <si>
    <t>ASML</t>
  </si>
  <si>
    <t>SELL -20 VERTICAL ASML 100 20 JUN 25 650/640 @.35</t>
  </si>
  <si>
    <t>SELL -1 ASML 100 1 AUG 25 695 PUT @4.30</t>
  </si>
  <si>
    <t>SELL -1 DIAGONAL ASML 100 8 AUG 25/1 AUG 25 677.5/695 JUN 25 650/640 @.35</t>
  </si>
  <si>
    <t>SELL -1 CALENDAR CROX 100 22 AUG 25/15 AUG 25 85/83 CALL @.24</t>
  </si>
  <si>
    <t>SELL -2 CROX 100 22 AUG 25 78 PUT @.36</t>
  </si>
  <si>
    <t>SELL -1 DIAGONAL GDXY 100 18 JUL 25/16 MAY 25 15/16 @.52</t>
  </si>
  <si>
    <t>Assigned 18 JUL 25 PUT @15</t>
  </si>
  <si>
    <t>SELL -1 LULU 100 22 AUG 25 172.5 PUT @1.04</t>
  </si>
  <si>
    <t>closing</t>
  </si>
  <si>
    <t>SELL -1 UNH 100 22 AUG 25 252.5 PUT @1.18</t>
  </si>
  <si>
    <t>SELL -1 DIAGONAL UNH 100 21 NOV 25/16 JAN 26 250/230 PUT @.45</t>
  </si>
  <si>
    <t>BUY -1 UNH 100 22 AUG 25 252.5 PUT @.05</t>
  </si>
  <si>
    <t>SELL -1 ARM 100 8 AUG 25 139 PUT @1.84</t>
  </si>
  <si>
    <t>SELL -1 DIAGONAL ARM 100 22 AUG 25/8 AUG 25 139/135 PUT @.50</t>
  </si>
  <si>
    <t>SELL -1 DIAGONAL ARM 100 12 SEP 22/22 AUG 25 130/135 PUT @.29</t>
  </si>
  <si>
    <t>CLOSING</t>
  </si>
  <si>
    <t>BUY -1 LULU 100 22 AUG 25 172.5 PUT @.03</t>
  </si>
  <si>
    <t>SELL -1 LULU 100 22 AUG 25 182.50 PUT @.82</t>
  </si>
  <si>
    <t>SELL -1 LULU 100 18 JUL 25 225 PUT @1.45</t>
  </si>
  <si>
    <t>SELL -1 DIAGONAL LULU 100 21 NOV 25/5 SEP 25 180/190 PUT @.32</t>
  </si>
  <si>
    <t>SELL -10 RIVN 100 11 JUL 25 12 PUT @.07</t>
  </si>
  <si>
    <t>SELL -10 RIVN 100 8 AUG  25 11 PUT @.12</t>
  </si>
  <si>
    <t>SELL -10 RIVN 100 8 AUG  25 10.5 PUT @.06</t>
  </si>
  <si>
    <t>SELL -1 RIVN 100 5 SEP  25 14.5 CALL @.09</t>
  </si>
  <si>
    <t>SELL -2 DIAGONAL NKE 100 25 JUL 25/17 OCT 25 71/80 CALL @.55</t>
  </si>
  <si>
    <t>SELL -2 DIAGONAL NKE 100 15 AUG 25/25 JUL 25 72/71 CALL @.30</t>
  </si>
  <si>
    <t>SELL -2 DIAGONAL NKE 100 17 OCT 25/15 AUG 25 77.5/72 CALL @.30</t>
  </si>
  <si>
    <t>SELL -1 DIAGONAL NKE 100 17 DEC 27/17 APR 25 50/62.5 PUT @.89</t>
  </si>
  <si>
    <t>Dividend reinvest</t>
  </si>
  <si>
    <t>BUY -1 UNH 100 21 NOV 25 250 PUT @-1.20</t>
  </si>
  <si>
    <t>d</t>
  </si>
  <si>
    <t>SELL -2 DIAGONAL CROX 100 29 AUG 25/22 AUG 25 86/85 CALL @.43</t>
  </si>
  <si>
    <t>SELL -2 DIAGONAL CROX 100 5 SEP 25/29 AUG 25 87/86 CALL @.20</t>
  </si>
  <si>
    <t>SELL -2 DIAGONAL CROX 100 19 SEP 25/5 SEP 25 90/87 CALL @.01</t>
  </si>
  <si>
    <t>SELL -1 CROX 100 19 SEP 25 77.5 PUT @.43</t>
  </si>
  <si>
    <t>SELL -1 CROX 100 3 OCT 25 73 PUT @.47</t>
  </si>
  <si>
    <t>SELL -1 CROX 100 3 OCT 25 73 PUT @.48</t>
  </si>
  <si>
    <t>SELL -1 CROX 100 5 SEP 25 82 PUT @.47</t>
  </si>
  <si>
    <t>SELL -1 LULU 100 3 OCT 25 162.5 PUT @1.03</t>
  </si>
  <si>
    <t>SELL -1 DIAGONAL ARM 100 21 NOV25/19 SEP 25 125/120 CALL @.60</t>
  </si>
  <si>
    <t xml:space="preserve"> </t>
  </si>
  <si>
    <t>SELL -1 LULU 100 26 SEP 25 155 PUT @1.78</t>
  </si>
  <si>
    <t>SELL -1 RIVN 100 19 SEP 25 16 CALL @.11</t>
  </si>
  <si>
    <t>SELL -1 RIVN 100 3 OCT 25 19 CALL @.11</t>
  </si>
  <si>
    <t>SELL -10 RIVN 100 8 AUG  25 13 PUT @.10</t>
  </si>
  <si>
    <t>SELL -1 LRCX 100 18 JUL  25 94 PUT @.53</t>
  </si>
  <si>
    <t>SELL -1 LRCX 100 3 OCT  25 144 CALL @.72</t>
  </si>
  <si>
    <t>LB</t>
  </si>
  <si>
    <t>Landbridge</t>
  </si>
  <si>
    <t>SELL -1 LB 100 19 SEP 25 50 PUT @1.05</t>
  </si>
  <si>
    <t>SELL -1 LB 100 17 OCT 25 50 PUT @1.16</t>
  </si>
  <si>
    <t>SELL -1 CMG 100 18 JUL 25 65 PUT @.45</t>
  </si>
  <si>
    <t>Closing Amount</t>
  </si>
  <si>
    <t>SELL -1 ODFL 100 19 SEP 25 145 PUT @1.90</t>
  </si>
  <si>
    <t>SELL -1 DIAGONAL LULU 100 17 OCT 25/19 SEP 25 145/140 PUT @.65</t>
  </si>
  <si>
    <t>SELL -1 ODFL 100 17 OCT 25 130 PUT @1.75</t>
  </si>
  <si>
    <t>Old Dominion Freight</t>
  </si>
  <si>
    <t>SELL -1 TSLA 100 22 AUG 25 380 CALL @2.20</t>
  </si>
  <si>
    <t>SELL -1 TSLA 100 29 AUG 25 380 CALL @1.04</t>
  </si>
  <si>
    <t>SELL -2 TSLA 100 5 SEP 25 380 CALL @2.29</t>
  </si>
  <si>
    <t>SELL -4 TSLA 100 19 SEP 25 440 CALL @1.90</t>
  </si>
  <si>
    <t>SELL -2 TSLA 100 3 OCT 25 487.5 CALL @2.67</t>
  </si>
  <si>
    <t>SELL -2 TSLA 100 3 OCT 25 487.5 CALL @2.81</t>
  </si>
  <si>
    <t>SELL -4 TSLA 100 17 OCT 25 500 CALL @3.85</t>
  </si>
  <si>
    <t>SELL -3 SLV 100 23 MAY 25 29 PUT @.17</t>
  </si>
  <si>
    <t>SELL -4 SLV 100 13 JUN 25 30.5 PUT @.24</t>
  </si>
  <si>
    <t>SELL -4 SLV 100 17 OCT 25 44.5 PUT @1.01</t>
  </si>
  <si>
    <t>SELL -4 SLV 100 17 OCT 25 39 PUT @.24</t>
  </si>
  <si>
    <t>SELL -2 SLV 100 23 MAY 25 29 PUT @.18</t>
  </si>
  <si>
    <t>SELL -5 SLV 100 13 JUN 25 29 PUT @.24</t>
  </si>
  <si>
    <t>SELL -4 SLV 100 3 JUL 25 32 PUT @.20</t>
  </si>
  <si>
    <t>SELL -2 SLV 100 17 OCT 25 44.5 PUT @1.01</t>
  </si>
  <si>
    <t>SELL -5 GDX 100 13 JUN 25 49.5 PUT @.20</t>
  </si>
  <si>
    <t>SELL -3 GDX 100 13 JUN 25 49.5 PUT @.12</t>
  </si>
  <si>
    <t>SELL -2 GDX 100 3 JUL 25 50.5 PUT @.06</t>
  </si>
  <si>
    <t>SELL -4 GDX 100 18 JUL 25 48.5 PUT @.35</t>
  </si>
  <si>
    <t>SELL -4 GDX 100 3 OCT 25 69 PUT @.39</t>
  </si>
  <si>
    <t>BUY +4 GDX 100 3 OCT 25 69 PUT @-.02</t>
  </si>
  <si>
    <t>SELL -2 GDX 100 10 OCT 25 74 PUT @.65</t>
  </si>
  <si>
    <t>SELL -2 GDX 100 10 OCT 25 72 PUT @.36</t>
  </si>
  <si>
    <t>SELL -5 DIAGONAL GDX 100 30 MAY 25/23 MAY 25 46.5/44 PUT @.27</t>
  </si>
  <si>
    <t>SELL -5 DIAGONAL GDX 100 6 JUN 25/30 MAY 25 47.5/46.5 PUT @.27</t>
  </si>
  <si>
    <t>SELL -5 DIAGONAL GDX 100 13 JUN 25/6 JUN 25 49.5/47.5 PUT @.19</t>
  </si>
  <si>
    <t>SELL -1 GDX 100 13 JUN 25 50 PUT @.20</t>
  </si>
  <si>
    <t>SELL -4 GDX 100 3 JUL 25 50 PUT @.04</t>
  </si>
  <si>
    <t>SELL -2 GDX 100 10 OCT 25 72.5 PUT @.41</t>
  </si>
  <si>
    <t>SELL -3 GDX 100 17 OCT 25 73.5 PUT @.40</t>
  </si>
  <si>
    <t>SELL -2 DIAGONAL GDX 100 17 OCT 25/10 OCT 25 71/72.5 PUT @.34</t>
  </si>
  <si>
    <t>SELL -2 DIAGONAL GDX 100 17 OCT 25/10 OCT 25 70/72 PUT @.22</t>
  </si>
  <si>
    <t>SELL -2 DIAGONAL GDX 100 17 OCT 25/10 OCT 25 72/74 PUT @.27</t>
  </si>
  <si>
    <t>QCOM</t>
  </si>
  <si>
    <t>Qualcomm</t>
  </si>
  <si>
    <t>SELL -1 QCOM 100 3 OCT 25 162.5 PUT @.79</t>
  </si>
  <si>
    <t>SELL -1 QCOM 100 10 OCT 25 160 PUT @1.25</t>
  </si>
  <si>
    <t>BUY +1 QCOM 100 3 OCT 25 162.5 PUT @-.10</t>
  </si>
  <si>
    <t>BUY +1 QCOM 100 10 OCT 25 160 PUT @-.15</t>
  </si>
  <si>
    <t>SELL -1 QCOM 100 17 OCT 25 160 PUT @.91</t>
  </si>
  <si>
    <t>SELL -1 QCOM 100 17 OCT 25 145 PUT @.56</t>
  </si>
  <si>
    <t>BUY +1 VERTICAL NKE 100 29 NOV 24 78/80 CALL @-1.16</t>
  </si>
  <si>
    <t>SELL -4 GDXY 100 17 OCT 25 16 PUT @.16</t>
  </si>
  <si>
    <t>SELL -4 GDXY 100 17 OCT 25 16 PUT @.18</t>
  </si>
  <si>
    <t>BUY +1 LULU 100 3 OCT 25 162.5 PUT @-.03</t>
  </si>
  <si>
    <t>SELL -2 VERTICAL LULU 100 31 OCT 25 150/145 @.30</t>
  </si>
  <si>
    <t>SELL -1 LULU 100 10 OCT 25 165 PUT @.64</t>
  </si>
  <si>
    <t>SELL -1 LULU 100 17 OCT 25 162.5 PUT @.90</t>
  </si>
  <si>
    <t>Assigned 10 OCT 25 165 PUT</t>
  </si>
  <si>
    <t>TXN</t>
  </si>
  <si>
    <t>Texas Instruments</t>
  </si>
  <si>
    <t>SELL -1 TXN 100 10 OCT 25 172.5 PUT @.86</t>
  </si>
  <si>
    <t>SELL -1 TXN 100 17 OCT 25 165 PUT @.49</t>
  </si>
  <si>
    <t>SELL -1 TXN 100 17 OCT 25 182.5 CALL @.71</t>
  </si>
  <si>
    <t>SELL -1 TXN 100 24 OCT 25 155 PUT @1.25</t>
  </si>
  <si>
    <t xml:space="preserve">Assigned 10 OCT 25 172.5 PUT </t>
  </si>
  <si>
    <t>SELL -1 LULU 100 17 OCT 25 175 CALL @1.01</t>
  </si>
  <si>
    <t>SELL -1 CROX 100 3 OCT 25 91 CALL @.25</t>
  </si>
  <si>
    <t>BUY +2 CROX 100 3 OCT 25 73 PUT @-.05</t>
  </si>
  <si>
    <t>SELL -1 CROX 100 3 OCT 25 81 PUT @.08</t>
  </si>
  <si>
    <t>SELL -1 CROX 100 17 OCT 25 86 CALL @.55</t>
  </si>
  <si>
    <t>SELL -1 AMZN 100 30 MAY 25 195 PUT @1.12</t>
  </si>
  <si>
    <t>SELL -1 AMZN 100 13 JUN 25 200 PUT @1.29</t>
  </si>
  <si>
    <t>SELL -1 AMZN 100 1 AUG 25 200 PUT @.14</t>
  </si>
  <si>
    <t>SELL -40 VERTICAL AMZN 100 12 SEP 25 210/205 @.24</t>
  </si>
  <si>
    <t>SELL -20 VERTICAL AMZN 100 10 OCT 25 210/205 @.22</t>
  </si>
  <si>
    <t>VIST</t>
  </si>
  <si>
    <t>Vista Energy</t>
  </si>
  <si>
    <t>SELL -1 VIST 100 20 JUN 25 45 PUT @.90</t>
  </si>
  <si>
    <t>SELL -1 VIST 100 19 SEP 25 35 PUT @.45</t>
  </si>
  <si>
    <t>Assigned 19 SEP 25 35 PUT</t>
  </si>
  <si>
    <t>SELL -1 VIST 100 17 OCT 25 35 CALL @1.13</t>
  </si>
  <si>
    <t>SELL -1 ADBE 100 5 SEP 25 342.5 PUT @1.81</t>
  </si>
  <si>
    <t>SELL -1 ADBE 100 26 SEP 25 335 PUT @1.93</t>
  </si>
  <si>
    <t>SELL -1 ADBE 100 3 OCT 25 340 PUT @1.60</t>
  </si>
  <si>
    <t>SELL -1 ADBE 100 10 OCT 25 347.5 PUT @2.45</t>
  </si>
  <si>
    <t>SELL -1 ADBE 100 10 OCT 25 325 PUT @1.60</t>
  </si>
  <si>
    <t>SELL -1 DIAGONAL ADBE 100 17 OCT 25/10 OCT 25 342.5/347.5 PUT @.57</t>
  </si>
  <si>
    <t>SELL -1 ADBE 100 17 OCT 25 327.5 PUT @1.85</t>
  </si>
  <si>
    <t>BUY +1 ADBE 100 10 OCT 25 325 PUT @-.19</t>
  </si>
  <si>
    <t>SELL -1 DIAGONAL ADBE 100 24 OCT 25/17 OCT 25 340/342.5 PUT @.92</t>
  </si>
  <si>
    <t>BUY +1 ADBE 100 3 OCT 25 340 PUT @-.29</t>
  </si>
  <si>
    <t>SELL -2 VERTICAL CMG 100 21 NOV 25 35/32.5 @.26</t>
  </si>
  <si>
    <t>BUY +3 AMAT 100 19 SEP 25 @ -.40</t>
  </si>
  <si>
    <t>SELL -1 ADBE 100 24 OCT 25 320 PUT @1.95</t>
  </si>
  <si>
    <t>ADBE</t>
  </si>
  <si>
    <t>Adobe</t>
  </si>
  <si>
    <t>SELL -2 CROX 100 24 OCT 25 74 PUT @.35</t>
  </si>
  <si>
    <t>Assigned 17 OCT 25 140 PUT</t>
  </si>
  <si>
    <t>SELL -5 VIST 100 17 OCT 25 35 PUT @1.11</t>
  </si>
  <si>
    <t>Assigned 17 OCT 25 35 CALL</t>
  </si>
  <si>
    <t>SELL -1 VIST 100 21 NOV 25 30 PUT @1.01</t>
  </si>
  <si>
    <t>SELL -1 CROX 100 17 OCT 25 73 PUT @.50</t>
  </si>
  <si>
    <t>SELL -1 CROX 100 31 OCT 25 100 CALL @1.15</t>
  </si>
  <si>
    <t>SELL -1 CROX 100 31 OCT 25 68 PUT @.57</t>
  </si>
  <si>
    <t>SELL -1 CROX 100 31 OCT 25 64 PUT @.36</t>
  </si>
  <si>
    <t>SELL -1 LULU 100 17 OCT 31 167.5 PUT @.93</t>
  </si>
  <si>
    <t>SELL -1 AMZN 100 31 OCT 25 200 PUT @1.32</t>
  </si>
  <si>
    <t>SELL -2 ODFL 100 21 NOV 25 130 PUT @2.59</t>
  </si>
  <si>
    <t>SELL -1 ODFL 100 21 NOV 25 145 CALL @8.05</t>
  </si>
  <si>
    <t>SELL -1 VIST 100 21 NOV 25 30 PUT @.90</t>
  </si>
  <si>
    <t>SELL -1 NKE 100 3 OCT 25 61 PUT @.35</t>
  </si>
  <si>
    <t>SELL -2 NKE 100 17 OCT 25 66 PUT @.30</t>
  </si>
  <si>
    <t>SELL -1 NKE 100 7 NOV 25 72 CALL @.50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</si>
</sst>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5" formatCode="mm/dd/yy;@"/>
    <numFmt numFmtId="166" formatCode="[$-409]dd\-mmm\-yy;@"/>
    <numFmt numFmtId="167" formatCode="0_);[Red]\(0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rgb="FF7030A0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2EFDA"/>
        <bgColor rgb="FF000000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4" fontId="0" fillId="0" borderId="0" xfId="1" applyFont="1" applyAlignment="1"/>
    <xf numFmtId="5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4" fontId="3" fillId="0" borderId="0" xfId="1" applyFont="1" applyAlignment="1"/>
    <xf numFmtId="7" fontId="3" fillId="2" borderId="0" xfId="0" applyNumberFormat="1" applyFont="1" applyFill="1"/>
    <xf numFmtId="1" fontId="0" fillId="0" borderId="0" xfId="0" applyNumberFormat="1" applyAlignment="1">
      <alignment horizontal="center"/>
    </xf>
    <xf numFmtId="0" fontId="4" fillId="4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4" fontId="5" fillId="0" borderId="0" xfId="1" applyFont="1" applyAlignment="1"/>
    <xf numFmtId="5" fontId="5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1" applyFont="1" applyAlignment="1"/>
    <xf numFmtId="5" fontId="2" fillId="0" borderId="0" xfId="0" applyNumberFormat="1" applyFont="1"/>
    <xf numFmtId="0" fontId="2" fillId="0" borderId="0" xfId="0" applyFont="1"/>
    <xf numFmtId="44" fontId="2" fillId="0" borderId="0" xfId="1" applyFont="1" applyFill="1" applyAlignment="1"/>
    <xf numFmtId="7" fontId="2" fillId="2" borderId="0" xfId="0" applyNumberFormat="1" applyFont="1" applyFill="1" applyAlignment="1">
      <alignment horizontal="center"/>
    </xf>
    <xf numFmtId="37" fontId="6" fillId="2" borderId="0" xfId="0" applyNumberFormat="1" applyFont="1" applyFill="1"/>
    <xf numFmtId="44" fontId="6" fillId="0" borderId="0" xfId="1" applyFont="1" applyAlignment="1"/>
    <xf numFmtId="5" fontId="6" fillId="2" borderId="0" xfId="0" applyNumberFormat="1" applyFont="1" applyFill="1"/>
    <xf numFmtId="0" fontId="7" fillId="0" borderId="0" xfId="0" applyFont="1"/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0" fillId="0" borderId="0" xfId="0" applyAlignment="1">
      <alignment wrapText="1"/>
    </xf>
    <xf numFmtId="8" fontId="3" fillId="3" borderId="0" xfId="0" applyNumberFormat="1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8" fillId="5" borderId="0" xfId="0" applyFont="1" applyFill="1" applyAlignment="1">
      <alignment wrapText="1"/>
    </xf>
    <xf numFmtId="0" fontId="5" fillId="0" borderId="0" xfId="0" applyFont="1" applyAlignment="1">
      <alignment horizontal="center" wrapText="1"/>
    </xf>
    <xf numFmtId="8" fontId="2" fillId="6" borderId="0" xfId="0" applyNumberFormat="1" applyFont="1" applyFill="1" applyAlignment="1">
      <alignment horizontal="center"/>
    </xf>
    <xf numFmtId="8" fontId="2" fillId="0" borderId="0" xfId="1" applyNumberFormat="1" applyFont="1" applyAlignment="1"/>
    <xf numFmtId="8" fontId="2" fillId="6" borderId="0" xfId="0" applyNumberFormat="1" applyFont="1" applyFill="1"/>
    <xf numFmtId="7" fontId="2" fillId="6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7" fontId="2" fillId="0" borderId="0" xfId="0" applyNumberFormat="1" applyFont="1"/>
    <xf numFmtId="1" fontId="0" fillId="0" borderId="0" xfId="0" applyNumberFormat="1"/>
    <xf numFmtId="7" fontId="2" fillId="6" borderId="0" xfId="0" applyNumberFormat="1" applyFont="1" applyFill="1"/>
    <xf numFmtId="0" fontId="2" fillId="7" borderId="0" xfId="0" applyFont="1" applyFill="1" applyAlignment="1">
      <alignment horizontal="left" wrapText="1"/>
    </xf>
    <xf numFmtId="0" fontId="2" fillId="7" borderId="0" xfId="0" applyFont="1" applyFill="1" applyAlignment="1">
      <alignment horizontal="center"/>
    </xf>
    <xf numFmtId="44" fontId="2" fillId="7" borderId="0" xfId="1" applyFont="1" applyFill="1" applyAlignment="1"/>
    <xf numFmtId="5" fontId="2" fillId="7" borderId="0" xfId="0" applyNumberFormat="1" applyFont="1" applyFill="1"/>
    <xf numFmtId="0" fontId="2" fillId="7" borderId="0" xfId="0" applyFont="1" applyFill="1"/>
    <xf numFmtId="0" fontId="2" fillId="7" borderId="0" xfId="0" applyFont="1" applyFill="1" applyAlignment="1">
      <alignment wrapText="1"/>
    </xf>
    <xf numFmtId="1" fontId="2" fillId="0" borderId="0" xfId="0" applyNumberFormat="1" applyFont="1" applyAlignment="1">
      <alignment horizontal="center"/>
    </xf>
    <xf numFmtId="3" fontId="2" fillId="0" borderId="0" xfId="0" applyNumberFormat="1" applyFont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2" fillId="7" borderId="0" xfId="0" applyNumberFormat="1" applyFont="1" applyFill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2" fillId="7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44" fontId="0" fillId="0" borderId="0" xfId="1" applyFont="1" applyAlignment="1">
      <alignment vertical="top"/>
    </xf>
    <xf numFmtId="5" fontId="0" fillId="0" borderId="0" xfId="0" applyNumberForma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44" fontId="3" fillId="0" borderId="0" xfId="1" applyFont="1" applyAlignment="1">
      <alignment vertical="top"/>
    </xf>
    <xf numFmtId="7" fontId="3" fillId="2" borderId="0" xfId="0" applyNumberFormat="1" applyFont="1" applyFill="1" applyAlignment="1">
      <alignment vertical="top"/>
    </xf>
    <xf numFmtId="8" fontId="3" fillId="3" borderId="0" xfId="0" applyNumberFormat="1" applyFont="1" applyFill="1" applyAlignment="1">
      <alignment horizontal="center" vertical="top" wrapText="1"/>
    </xf>
    <xf numFmtId="1" fontId="0" fillId="0" borderId="0" xfId="0" applyNumberFormat="1" applyAlignment="1">
      <alignment horizontal="center" vertical="top"/>
    </xf>
    <xf numFmtId="0" fontId="4" fillId="4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top"/>
    </xf>
    <xf numFmtId="44" fontId="2" fillId="0" borderId="0" xfId="1" applyFont="1" applyAlignment="1">
      <alignment vertical="top"/>
    </xf>
    <xf numFmtId="5" fontId="2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  <xf numFmtId="0" fontId="8" fillId="5" borderId="0" xfId="0" applyFont="1" applyFill="1" applyAlignment="1">
      <alignment vertical="top"/>
    </xf>
    <xf numFmtId="0" fontId="9" fillId="5" borderId="0" xfId="0" applyFont="1" applyFill="1" applyAlignment="1">
      <alignment horizontal="center" vertical="top"/>
    </xf>
    <xf numFmtId="0" fontId="8" fillId="5" borderId="0" xfId="0" applyFont="1" applyFill="1" applyAlignment="1">
      <alignment vertical="top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44" fontId="5" fillId="0" borderId="0" xfId="1" applyFont="1" applyAlignment="1">
      <alignment vertical="top"/>
    </xf>
    <xf numFmtId="5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/>
    </xf>
    <xf numFmtId="7" fontId="2" fillId="0" borderId="0" xfId="0" applyNumberFormat="1" applyFont="1" applyAlignment="1">
      <alignment vertical="top"/>
    </xf>
    <xf numFmtId="7" fontId="2" fillId="0" borderId="0" xfId="0" applyNumberFormat="1" applyFont="1" applyAlignment="1">
      <alignment horizontal="center" vertical="top"/>
    </xf>
    <xf numFmtId="8" fontId="2" fillId="6" borderId="0" xfId="0" applyNumberFormat="1" applyFont="1" applyFill="1" applyAlignment="1">
      <alignment vertical="top"/>
    </xf>
    <xf numFmtId="7" fontId="2" fillId="2" borderId="0" xfId="0" applyNumberFormat="1" applyFont="1" applyFill="1" applyAlignment="1">
      <alignment horizontal="center" vertical="top"/>
    </xf>
    <xf numFmtId="44" fontId="2" fillId="0" borderId="0" xfId="1" applyFont="1" applyFill="1" applyAlignment="1">
      <alignment vertical="top"/>
    </xf>
    <xf numFmtId="37" fontId="6" fillId="2" borderId="0" xfId="0" applyNumberFormat="1" applyFont="1" applyFill="1" applyAlignment="1">
      <alignment vertical="top"/>
    </xf>
    <xf numFmtId="44" fontId="6" fillId="0" borderId="0" xfId="1" applyFont="1" applyAlignment="1">
      <alignment vertical="top"/>
    </xf>
    <xf numFmtId="5" fontId="6" fillId="2" borderId="0" xfId="0" applyNumberFormat="1" applyFont="1" applyFill="1" applyAlignment="1">
      <alignment vertical="top"/>
    </xf>
    <xf numFmtId="8" fontId="2" fillId="6" borderId="0" xfId="0" applyNumberFormat="1" applyFont="1" applyFill="1" applyAlignment="1">
      <alignment horizontal="center" vertical="top"/>
    </xf>
    <xf numFmtId="165" fontId="2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0" fontId="4" fillId="4" borderId="0" xfId="0" applyFont="1" applyFill="1" applyAlignment="1">
      <alignment horizontal="left" vertical="top" wrapText="1"/>
    </xf>
    <xf numFmtId="165" fontId="0" fillId="0" borderId="0" xfId="0" applyNumberFormat="1" applyAlignment="1">
      <alignment vertical="top"/>
    </xf>
    <xf numFmtId="165" fontId="0" fillId="0" borderId="0" xfId="0" applyNumberForma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5" fontId="5" fillId="0" borderId="0" xfId="0" applyNumberFormat="1" applyFont="1" applyAlignment="1">
      <alignment horizontal="center" vertical="top"/>
    </xf>
    <xf numFmtId="8" fontId="2" fillId="0" borderId="0" xfId="1" applyNumberFormat="1" applyFont="1" applyAlignment="1">
      <alignment vertical="top"/>
    </xf>
    <xf numFmtId="0" fontId="2" fillId="7" borderId="0" xfId="0" applyFont="1" applyFill="1" applyAlignment="1">
      <alignment horizontal="left" vertical="top" wrapText="1"/>
    </xf>
    <xf numFmtId="165" fontId="2" fillId="7" borderId="0" xfId="0" applyNumberFormat="1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44" fontId="2" fillId="7" borderId="0" xfId="1" applyFont="1" applyFill="1" applyAlignment="1">
      <alignment vertical="top"/>
    </xf>
    <xf numFmtId="5" fontId="2" fillId="7" borderId="0" xfId="0" applyNumberFormat="1" applyFont="1" applyFill="1" applyAlignment="1">
      <alignment vertical="top"/>
    </xf>
    <xf numFmtId="0" fontId="2" fillId="7" borderId="0" xfId="0" applyFont="1" applyFill="1" applyAlignment="1">
      <alignment vertical="top"/>
    </xf>
    <xf numFmtId="0" fontId="2" fillId="7" borderId="0" xfId="0" applyFont="1" applyFill="1" applyAlignment="1">
      <alignment vertical="top" wrapText="1"/>
    </xf>
    <xf numFmtId="7" fontId="2" fillId="6" borderId="0" xfId="0" applyNumberFormat="1" applyFont="1" applyFill="1" applyAlignment="1">
      <alignment vertical="top"/>
    </xf>
    <xf numFmtId="7" fontId="2" fillId="6" borderId="0" xfId="0" applyNumberFormat="1" applyFont="1" applyFill="1" applyAlignment="1">
      <alignment horizontal="center" vertical="top"/>
    </xf>
    <xf numFmtId="1" fontId="0" fillId="0" borderId="0" xfId="0" applyNumberFormat="1" applyAlignment="1">
      <alignment vertical="top"/>
    </xf>
    <xf numFmtId="8" fontId="2" fillId="0" borderId="0" xfId="0" applyNumberFormat="1" applyFont="1"/>
    <xf numFmtId="7" fontId="2" fillId="0" borderId="0" xfId="1" applyNumberFormat="1" applyFont="1" applyFill="1" applyAlignment="1"/>
    <xf numFmtId="37" fontId="6" fillId="0" borderId="0" xfId="0" applyNumberFormat="1" applyFont="1"/>
    <xf numFmtId="7" fontId="2" fillId="2" borderId="0" xfId="0" applyNumberFormat="1" applyFont="1" applyFill="1"/>
    <xf numFmtId="1" fontId="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8" fontId="12" fillId="2" borderId="0" xfId="0" applyNumberFormat="1" applyFont="1" applyFill="1" applyAlignment="1">
      <alignment vertical="top"/>
    </xf>
    <xf numFmtId="7" fontId="12" fillId="2" borderId="0" xfId="0" applyNumberFormat="1" applyFont="1" applyFill="1" applyAlignment="1">
      <alignment horizontal="center" vertical="top"/>
    </xf>
    <xf numFmtId="5" fontId="13" fillId="2" borderId="0" xfId="0" applyNumberFormat="1" applyFont="1" applyFill="1" applyAlignment="1">
      <alignment vertical="top"/>
    </xf>
    <xf numFmtId="7" fontId="12" fillId="2" borderId="0" xfId="0" applyNumberFormat="1" applyFont="1" applyFill="1" applyAlignment="1">
      <alignment horizontal="center"/>
    </xf>
    <xf numFmtId="5" fontId="13" fillId="2" borderId="0" xfId="0" applyNumberFormat="1" applyFont="1" applyFill="1"/>
    <xf numFmtId="8" fontId="14" fillId="2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5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 wrapText="1"/>
    </xf>
    <xf numFmtId="7" fontId="14" fillId="2" borderId="0" xfId="0" applyNumberFormat="1" applyFont="1" applyFill="1" applyAlignment="1">
      <alignment horizontal="center" vertical="center"/>
    </xf>
    <xf numFmtId="0" fontId="0" fillId="8" borderId="0" xfId="0" applyFill="1"/>
    <xf numFmtId="0" fontId="0" fillId="4" borderId="0" xfId="0" applyFill="1"/>
    <xf numFmtId="0" fontId="0" fillId="7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8" fillId="5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37" fontId="6" fillId="0" borderId="0" xfId="0" applyNumberFormat="1" applyFont="1" applyAlignment="1">
      <alignment horizontal="center" vertical="center"/>
    </xf>
    <xf numFmtId="0" fontId="12" fillId="0" borderId="0" xfId="0" applyFont="1"/>
    <xf numFmtId="5" fontId="12" fillId="0" borderId="0" xfId="0" applyNumberFormat="1" applyFont="1"/>
    <xf numFmtId="0" fontId="12" fillId="0" borderId="0" xfId="0" applyFont="1" applyAlignment="1">
      <alignment wrapText="1"/>
    </xf>
    <xf numFmtId="7" fontId="13" fillId="2" borderId="0" xfId="0" applyNumberFormat="1" applyFont="1" applyFill="1" applyAlignment="1">
      <alignment vertical="top"/>
    </xf>
    <xf numFmtId="7" fontId="12" fillId="2" borderId="0" xfId="0" applyNumberFormat="1" applyFont="1" applyFill="1" applyAlignment="1">
      <alignment horizontal="right"/>
    </xf>
    <xf numFmtId="0" fontId="0" fillId="11" borderId="0" xfId="0" applyFill="1"/>
    <xf numFmtId="7" fontId="13" fillId="2" borderId="0" xfId="0" applyNumberFormat="1" applyFont="1" applyFill="1"/>
    <xf numFmtId="0" fontId="8" fillId="5" borderId="0" xfId="0" applyFont="1" applyFill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7" fontId="2" fillId="0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8" fontId="2" fillId="6" borderId="0" xfId="0" applyNumberFormat="1" applyFont="1" applyFill="1" applyAlignment="1">
      <alignment horizontal="right" vertical="center"/>
    </xf>
    <xf numFmtId="0" fontId="16" fillId="12" borderId="0" xfId="0" applyFont="1" applyFill="1"/>
    <xf numFmtId="165" fontId="5" fillId="0" borderId="0" xfId="0" applyNumberFormat="1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5" fontId="5" fillId="0" borderId="0" xfId="0" applyNumberFormat="1" applyFont="1" applyAlignment="1">
      <alignment horizontal="center" vertical="center"/>
    </xf>
    <xf numFmtId="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7" fontId="13" fillId="0" borderId="0" xfId="0" applyNumberFormat="1" applyFont="1"/>
    <xf numFmtId="7" fontId="2" fillId="0" borderId="0" xfId="1" applyNumberFormat="1" applyFont="1" applyFill="1" applyAlignment="1">
      <alignment vertical="center"/>
    </xf>
    <xf numFmtId="8" fontId="2" fillId="6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8" fontId="2" fillId="6" borderId="0" xfId="0" applyNumberFormat="1" applyFont="1" applyFill="1" applyAlignment="1">
      <alignment horizontal="center" vertical="center"/>
    </xf>
    <xf numFmtId="44" fontId="2" fillId="0" borderId="0" xfId="1" applyFont="1" applyAlignment="1">
      <alignment vertical="center"/>
    </xf>
    <xf numFmtId="7" fontId="2" fillId="6" borderId="0" xfId="0" applyNumberFormat="1" applyFont="1" applyFill="1" applyAlignment="1">
      <alignment vertical="center"/>
    </xf>
    <xf numFmtId="7" fontId="2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44" fontId="2" fillId="0" borderId="0" xfId="1" applyFont="1" applyFill="1" applyAlignment="1">
      <alignment vertical="center"/>
    </xf>
    <xf numFmtId="7" fontId="2" fillId="0" borderId="0" xfId="0" applyNumberFormat="1" applyFont="1" applyAlignment="1">
      <alignment vertical="center"/>
    </xf>
    <xf numFmtId="8" fontId="2" fillId="0" borderId="0" xfId="0" applyNumberFormat="1" applyFont="1" applyAlignment="1">
      <alignment vertical="center"/>
    </xf>
    <xf numFmtId="7" fontId="3" fillId="0" borderId="0" xfId="0" applyNumberFormat="1" applyFont="1"/>
    <xf numFmtId="7" fontId="3" fillId="2" borderId="0" xfId="0" applyNumberFormat="1" applyFont="1" applyFill="1" applyAlignment="1">
      <alignment horizontal="center"/>
    </xf>
    <xf numFmtId="8" fontId="2" fillId="2" borderId="0" xfId="0" applyNumberFormat="1" applyFont="1" applyFill="1"/>
    <xf numFmtId="0" fontId="10" fillId="13" borderId="0" xfId="0" applyFont="1" applyFill="1" applyAlignment="1">
      <alignment horizontal="left" wrapText="1"/>
    </xf>
    <xf numFmtId="0" fontId="15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top"/>
    </xf>
    <xf numFmtId="0" fontId="15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622"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worksheet" Target="worksheets/sheet26.xml"/><Relationship Id="rId39" Type="http://purl.oclc.org/ooxml/officeDocument/relationships/worksheet" Target="worksheets/sheet39.xml"/><Relationship Id="rId21" Type="http://purl.oclc.org/ooxml/officeDocument/relationships/worksheet" Target="worksheets/sheet21.xml"/><Relationship Id="rId34" Type="http://purl.oclc.org/ooxml/officeDocument/relationships/worksheet" Target="worksheets/sheet34.xml"/><Relationship Id="rId42" Type="http://purl.oclc.org/ooxml/officeDocument/relationships/worksheet" Target="worksheets/sheet42.xml"/><Relationship Id="rId47" Type="http://purl.oclc.org/ooxml/officeDocument/relationships/worksheet" Target="worksheets/sheet47.xml"/><Relationship Id="rId50" Type="http://purl.oclc.org/ooxml/officeDocument/relationships/worksheet" Target="worksheets/sheet50.xml"/><Relationship Id="rId55" Type="http://purl.oclc.org/ooxml/officeDocument/relationships/worksheet" Target="worksheets/sheet55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9" Type="http://purl.oclc.org/ooxml/officeDocument/relationships/worksheet" Target="worksheets/sheet29.xml"/><Relationship Id="rId11" Type="http://purl.oclc.org/ooxml/officeDocument/relationships/worksheet" Target="worksheets/sheet11.xml"/><Relationship Id="rId24" Type="http://purl.oclc.org/ooxml/officeDocument/relationships/worksheet" Target="worksheets/sheet24.xml"/><Relationship Id="rId32" Type="http://purl.oclc.org/ooxml/officeDocument/relationships/worksheet" Target="worksheets/sheet32.xml"/><Relationship Id="rId37" Type="http://purl.oclc.org/ooxml/officeDocument/relationships/worksheet" Target="worksheets/sheet37.xml"/><Relationship Id="rId40" Type="http://purl.oclc.org/ooxml/officeDocument/relationships/worksheet" Target="worksheets/sheet40.xml"/><Relationship Id="rId45" Type="http://purl.oclc.org/ooxml/officeDocument/relationships/worksheet" Target="worksheets/sheet45.xml"/><Relationship Id="rId53" Type="http://purl.oclc.org/ooxml/officeDocument/relationships/worksheet" Target="worksheets/sheet53.xml"/><Relationship Id="rId58" Type="http://purl.oclc.org/ooxml/officeDocument/relationships/styles" Target="styles.xml"/><Relationship Id="rId5" Type="http://purl.oclc.org/ooxml/officeDocument/relationships/worksheet" Target="worksheets/sheet5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worksheet" Target="worksheets/sheet27.xml"/><Relationship Id="rId30" Type="http://purl.oclc.org/ooxml/officeDocument/relationships/worksheet" Target="worksheets/sheet30.xml"/><Relationship Id="rId35" Type="http://purl.oclc.org/ooxml/officeDocument/relationships/worksheet" Target="worksheets/sheet35.xml"/><Relationship Id="rId43" Type="http://purl.oclc.org/ooxml/officeDocument/relationships/worksheet" Target="worksheets/sheet43.xml"/><Relationship Id="rId48" Type="http://purl.oclc.org/ooxml/officeDocument/relationships/worksheet" Target="worksheets/sheet48.xml"/><Relationship Id="rId56" Type="http://purl.oclc.org/ooxml/officeDocument/relationships/worksheet" Target="worksheets/sheet56.xml"/><Relationship Id="rId8" Type="http://purl.oclc.org/ooxml/officeDocument/relationships/worksheet" Target="worksheets/sheet8.xml"/><Relationship Id="rId51" Type="http://purl.oclc.org/ooxml/officeDocument/relationships/worksheet" Target="worksheets/sheet51.xml"/><Relationship Id="rId3" Type="http://purl.oclc.org/ooxml/officeDocument/relationships/worksheet" Target="worksheets/sheet3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worksheet" Target="worksheets/sheet25.xml"/><Relationship Id="rId33" Type="http://purl.oclc.org/ooxml/officeDocument/relationships/worksheet" Target="worksheets/sheet33.xml"/><Relationship Id="rId38" Type="http://purl.oclc.org/ooxml/officeDocument/relationships/worksheet" Target="worksheets/sheet38.xml"/><Relationship Id="rId46" Type="http://purl.oclc.org/ooxml/officeDocument/relationships/worksheet" Target="worksheets/sheet46.xml"/><Relationship Id="rId59" Type="http://purl.oclc.org/ooxml/officeDocument/relationships/sharedStrings" Target="sharedStrings.xml"/><Relationship Id="rId20" Type="http://purl.oclc.org/ooxml/officeDocument/relationships/worksheet" Target="worksheets/sheet20.xml"/><Relationship Id="rId41" Type="http://purl.oclc.org/ooxml/officeDocument/relationships/worksheet" Target="worksheets/sheet41.xml"/><Relationship Id="rId54" Type="http://purl.oclc.org/ooxml/officeDocument/relationships/worksheet" Target="worksheets/sheet54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worksheet" Target="worksheets/sheet28.xml"/><Relationship Id="rId36" Type="http://purl.oclc.org/ooxml/officeDocument/relationships/worksheet" Target="worksheets/sheet36.xml"/><Relationship Id="rId49" Type="http://purl.oclc.org/ooxml/officeDocument/relationships/worksheet" Target="worksheets/sheet49.xml"/><Relationship Id="rId57" Type="http://purl.oclc.org/ooxml/officeDocument/relationships/theme" Target="theme/theme1.xml"/><Relationship Id="rId10" Type="http://purl.oclc.org/ooxml/officeDocument/relationships/worksheet" Target="worksheets/sheet10.xml"/><Relationship Id="rId31" Type="http://purl.oclc.org/ooxml/officeDocument/relationships/worksheet" Target="worksheets/sheet31.xml"/><Relationship Id="rId44" Type="http://purl.oclc.org/ooxml/officeDocument/relationships/worksheet" Target="worksheets/sheet44.xml"/><Relationship Id="rId52" Type="http://purl.oclc.org/ooxml/officeDocument/relationships/worksheet" Target="worksheets/sheet52.xml"/><Relationship Id="rId60" Type="http://purl.oclc.org/ooxml/officeDocument/relationships/calcChain" Target="calcChain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6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C898-E450-3441-94D6-3703658DF9A8}">
  <sheetPr codeName="Sheet61"/>
  <dimension ref="A1:O79"/>
  <sheetViews>
    <sheetView tabSelected="1" zoomScale="120" zoomScaleNormal="120" workbookViewId="0">
      <selection activeCell="B11" sqref="B11"/>
    </sheetView>
  </sheetViews>
  <sheetFormatPr baseColWidth="10" defaultColWidth="8.83203125" defaultRowHeight="15" x14ac:dyDescent="0.2"/>
  <cols>
    <col min="1" max="1" width="6" customWidth="1"/>
    <col min="2" max="2" width="39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10.33203125" customWidth="1"/>
    <col min="9" max="9" width="3.5" customWidth="1"/>
    <col min="10" max="10" width="11.83203125" customWidth="1"/>
    <col min="11" max="11" width="19" style="29" customWidth="1"/>
    <col min="12" max="12" width="10" style="2" customWidth="1"/>
    <col min="15" max="15" width="12.6640625" bestFit="1" customWidth="1"/>
  </cols>
  <sheetData>
    <row r="1" spans="1:15" ht="29" customHeight="1" x14ac:dyDescent="0.2">
      <c r="B1" s="197" t="s">
        <v>673</v>
      </c>
      <c r="C1" s="197"/>
    </row>
    <row r="2" spans="1:15" x14ac:dyDescent="0.2">
      <c r="B2" s="1" t="s">
        <v>674</v>
      </c>
      <c r="C2" s="56"/>
      <c r="D2" s="2"/>
      <c r="F2" s="3"/>
      <c r="G2" s="4"/>
      <c r="H2" s="4"/>
    </row>
    <row r="3" spans="1:15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322.89999999999998</v>
      </c>
      <c r="H3" s="8"/>
      <c r="J3" t="s">
        <v>279</v>
      </c>
      <c r="K3" s="30">
        <v>28.99</v>
      </c>
      <c r="L3" s="6"/>
    </row>
    <row r="4" spans="1:15" x14ac:dyDescent="0.2">
      <c r="B4" s="1"/>
      <c r="C4" s="56"/>
      <c r="D4" s="2"/>
      <c r="F4" s="3" t="s">
        <v>2</v>
      </c>
      <c r="G4" s="9">
        <f>SUM(E11:E37)</f>
        <v>200</v>
      </c>
      <c r="H4" s="9"/>
    </row>
    <row r="5" spans="1:15" x14ac:dyDescent="0.2">
      <c r="C5" s="56"/>
      <c r="D5" s="2"/>
      <c r="F5" s="3"/>
      <c r="G5" s="4"/>
      <c r="H5" s="4"/>
    </row>
    <row r="6" spans="1:15" x14ac:dyDescent="0.2">
      <c r="B6" s="15"/>
      <c r="C6" s="58"/>
      <c r="D6" s="17"/>
      <c r="E6" s="155"/>
      <c r="F6" s="18"/>
      <c r="G6" s="19"/>
      <c r="H6" s="19"/>
      <c r="I6" s="20"/>
      <c r="J6" s="20"/>
      <c r="K6" s="31"/>
      <c r="L6" s="17"/>
    </row>
    <row r="7" spans="1:15" ht="6" customHeight="1" x14ac:dyDescent="0.2">
      <c r="B7" s="15"/>
      <c r="C7" s="58"/>
      <c r="D7" s="17"/>
      <c r="E7" s="155"/>
      <c r="F7" s="18"/>
      <c r="G7" s="19"/>
      <c r="H7" s="19"/>
      <c r="I7" s="20"/>
      <c r="J7" s="20"/>
      <c r="K7" s="31"/>
      <c r="L7" s="17"/>
    </row>
    <row r="8" spans="1:15" s="26" customFormat="1" ht="12" x14ac:dyDescent="0.15">
      <c r="B8" s="198" t="s">
        <v>3</v>
      </c>
      <c r="C8" s="198"/>
      <c r="D8" s="198"/>
      <c r="E8" s="198"/>
      <c r="F8" s="198"/>
      <c r="G8" s="198"/>
      <c r="H8" s="166"/>
      <c r="I8" s="27"/>
      <c r="J8" s="28"/>
      <c r="K8" s="32"/>
      <c r="L8" s="28"/>
    </row>
    <row r="9" spans="1:15" s="153" customFormat="1" ht="32" x14ac:dyDescent="0.2">
      <c r="B9" s="156" t="s">
        <v>11</v>
      </c>
      <c r="C9" s="173" t="s">
        <v>6</v>
      </c>
      <c r="D9" s="156" t="s">
        <v>39</v>
      </c>
      <c r="E9" s="156" t="s">
        <v>2</v>
      </c>
      <c r="F9" s="174" t="s">
        <v>7</v>
      </c>
      <c r="G9" s="175" t="s">
        <v>8</v>
      </c>
      <c r="H9" s="176" t="s">
        <v>583</v>
      </c>
      <c r="I9" s="156"/>
      <c r="J9" s="156" t="s">
        <v>4</v>
      </c>
      <c r="K9" s="177"/>
      <c r="L9" s="156" t="s">
        <v>5</v>
      </c>
    </row>
    <row r="10" spans="1:15" ht="5.5" customHeight="1" x14ac:dyDescent="0.2">
      <c r="B10" s="12"/>
      <c r="C10" s="59"/>
      <c r="D10" s="11"/>
      <c r="E10" s="156"/>
      <c r="F10" s="13"/>
      <c r="G10" s="14"/>
      <c r="H10" s="14"/>
      <c r="I10" s="11"/>
      <c r="J10" s="11"/>
      <c r="K10" s="33"/>
      <c r="L10" s="11"/>
    </row>
    <row r="11" spans="1:15" x14ac:dyDescent="0.2">
      <c r="A11" s="187"/>
      <c r="B11" s="188"/>
      <c r="C11" s="167"/>
      <c r="D11" s="189"/>
      <c r="E11" s="157">
        <v>100</v>
      </c>
      <c r="F11" s="190">
        <v>340</v>
      </c>
      <c r="G11" s="191">
        <f>E11*F11</f>
        <v>34000</v>
      </c>
      <c r="H11" s="191"/>
      <c r="I11" s="181"/>
      <c r="J11" s="180">
        <f>G11</f>
        <v>34000</v>
      </c>
      <c r="K11" s="182"/>
      <c r="L11" s="180">
        <f>J11/E11</f>
        <v>340</v>
      </c>
    </row>
    <row r="12" spans="1:15" x14ac:dyDescent="0.2">
      <c r="A12" s="187"/>
      <c r="B12" s="188"/>
      <c r="C12" s="167"/>
      <c r="D12" s="189"/>
      <c r="E12" s="157">
        <v>100</v>
      </c>
      <c r="F12" s="190">
        <v>320</v>
      </c>
      <c r="G12" s="191">
        <f>E12*F12</f>
        <v>32000</v>
      </c>
      <c r="H12" s="191"/>
      <c r="I12" s="181"/>
      <c r="J12" s="180">
        <f>J11+G12</f>
        <v>66000</v>
      </c>
      <c r="K12" s="182"/>
      <c r="L12" s="180">
        <f>J12/SUM($E$11:E12)</f>
        <v>330</v>
      </c>
      <c r="O12" s="144" t="s">
        <v>268</v>
      </c>
    </row>
    <row r="13" spans="1:15" x14ac:dyDescent="0.2">
      <c r="A13" s="187"/>
      <c r="B13" s="188"/>
      <c r="C13" s="167"/>
      <c r="D13" s="189"/>
      <c r="E13" s="157"/>
      <c r="F13" s="190"/>
      <c r="G13" s="191">
        <f t="shared" ref="G13:G37" si="0">E13*F13</f>
        <v>0</v>
      </c>
      <c r="H13" s="191"/>
      <c r="I13" s="181"/>
      <c r="J13" s="180">
        <f>J12+G13</f>
        <v>66000</v>
      </c>
      <c r="K13" s="182"/>
      <c r="L13" s="180">
        <f>J13/SUM($E$11:E13)</f>
        <v>330</v>
      </c>
      <c r="O13" s="143" t="s">
        <v>269</v>
      </c>
    </row>
    <row r="14" spans="1:15" x14ac:dyDescent="0.2">
      <c r="A14" s="187"/>
      <c r="B14" s="188"/>
      <c r="C14" s="167"/>
      <c r="D14" s="189"/>
      <c r="E14" s="157"/>
      <c r="F14" s="190"/>
      <c r="G14" s="191">
        <f t="shared" si="0"/>
        <v>0</v>
      </c>
      <c r="H14" s="191"/>
      <c r="I14" s="181"/>
      <c r="J14" s="180">
        <f t="shared" ref="J14:J37" si="1">J13+G14</f>
        <v>66000</v>
      </c>
      <c r="K14" s="182"/>
      <c r="L14" s="180">
        <f>J14/SUM($E$11:E14)</f>
        <v>330</v>
      </c>
      <c r="O14" s="145" t="s">
        <v>270</v>
      </c>
    </row>
    <row r="15" spans="1:15" x14ac:dyDescent="0.2">
      <c r="A15" s="187"/>
      <c r="B15" s="188"/>
      <c r="C15" s="167"/>
      <c r="D15" s="189"/>
      <c r="E15" s="157"/>
      <c r="F15" s="190"/>
      <c r="G15" s="191">
        <f t="shared" si="0"/>
        <v>0</v>
      </c>
      <c r="H15" s="191"/>
      <c r="I15" s="181"/>
      <c r="J15" s="180">
        <f t="shared" si="1"/>
        <v>66000</v>
      </c>
      <c r="K15" s="182"/>
      <c r="L15" s="180">
        <f>J15/SUM($E$11:E15)</f>
        <v>330</v>
      </c>
      <c r="O15" s="146" t="s">
        <v>271</v>
      </c>
    </row>
    <row r="16" spans="1:15" x14ac:dyDescent="0.2">
      <c r="A16" s="187"/>
      <c r="B16" s="188"/>
      <c r="C16" s="167"/>
      <c r="D16" s="189"/>
      <c r="E16" s="157"/>
      <c r="F16" s="190"/>
      <c r="G16" s="191">
        <f t="shared" si="0"/>
        <v>0</v>
      </c>
      <c r="H16" s="191"/>
      <c r="I16" s="181"/>
      <c r="J16" s="180">
        <f t="shared" si="1"/>
        <v>66000</v>
      </c>
      <c r="K16" s="182"/>
      <c r="L16" s="180">
        <f>J16/SUM($E$11:E16)</f>
        <v>330</v>
      </c>
      <c r="O16" s="147" t="s">
        <v>266</v>
      </c>
    </row>
    <row r="17" spans="1:15" x14ac:dyDescent="0.2">
      <c r="A17" s="187"/>
      <c r="B17" s="188"/>
      <c r="C17" s="167"/>
      <c r="D17" s="189"/>
      <c r="E17" s="157"/>
      <c r="F17" s="190"/>
      <c r="G17" s="191">
        <f t="shared" si="0"/>
        <v>0</v>
      </c>
      <c r="H17" s="191"/>
      <c r="I17" s="181"/>
      <c r="J17" s="180">
        <f t="shared" si="1"/>
        <v>66000</v>
      </c>
      <c r="K17" s="182"/>
      <c r="L17" s="180">
        <f>J17/SUM($E$11:E17)</f>
        <v>330</v>
      </c>
      <c r="O17" s="164" t="s">
        <v>493</v>
      </c>
    </row>
    <row r="18" spans="1:15" x14ac:dyDescent="0.2">
      <c r="A18" s="187"/>
      <c r="B18" s="188"/>
      <c r="C18" s="167"/>
      <c r="D18" s="189"/>
      <c r="E18" s="157"/>
      <c r="F18" s="190"/>
      <c r="G18" s="191">
        <f t="shared" si="0"/>
        <v>0</v>
      </c>
      <c r="H18" s="191"/>
      <c r="I18" s="181"/>
      <c r="J18" s="180">
        <f t="shared" si="1"/>
        <v>66000</v>
      </c>
      <c r="K18" s="182"/>
      <c r="L18" s="180">
        <f>J18/SUM($E$11:E18)</f>
        <v>330</v>
      </c>
      <c r="O18" s="172" t="s">
        <v>546</v>
      </c>
    </row>
    <row r="19" spans="1:15" x14ac:dyDescent="0.2">
      <c r="A19" s="187"/>
      <c r="B19" s="188"/>
      <c r="C19" s="167"/>
      <c r="D19" s="189"/>
      <c r="E19" s="157"/>
      <c r="F19" s="190"/>
      <c r="G19" s="191">
        <f t="shared" si="0"/>
        <v>0</v>
      </c>
      <c r="H19" s="191"/>
      <c r="I19" s="181"/>
      <c r="J19" s="180">
        <f t="shared" si="1"/>
        <v>66000</v>
      </c>
      <c r="K19" s="182"/>
      <c r="L19" s="180">
        <f>J19/SUM($E$11:E19)</f>
        <v>330</v>
      </c>
    </row>
    <row r="20" spans="1:15" x14ac:dyDescent="0.2">
      <c r="A20" s="187"/>
      <c r="B20" s="188"/>
      <c r="C20" s="167"/>
      <c r="D20" s="189"/>
      <c r="E20" s="157"/>
      <c r="F20" s="190"/>
      <c r="G20" s="191">
        <f t="shared" si="0"/>
        <v>0</v>
      </c>
      <c r="H20" s="191"/>
      <c r="I20" s="181"/>
      <c r="J20" s="180">
        <f t="shared" si="1"/>
        <v>66000</v>
      </c>
      <c r="K20" s="182"/>
      <c r="L20" s="180">
        <f>J20/SUM($E$11:E20)</f>
        <v>330</v>
      </c>
    </row>
    <row r="21" spans="1:15" x14ac:dyDescent="0.2">
      <c r="A21" s="187"/>
      <c r="B21" s="188"/>
      <c r="C21" s="167"/>
      <c r="D21" s="189"/>
      <c r="E21" s="157"/>
      <c r="F21" s="190"/>
      <c r="G21" s="191">
        <f t="shared" si="0"/>
        <v>0</v>
      </c>
      <c r="H21" s="191"/>
      <c r="I21" s="181"/>
      <c r="J21" s="180">
        <f t="shared" si="1"/>
        <v>66000</v>
      </c>
      <c r="K21" s="182"/>
      <c r="L21" s="180">
        <f>J21/SUM($E$11:E21)</f>
        <v>330</v>
      </c>
    </row>
    <row r="22" spans="1:15" x14ac:dyDescent="0.2">
      <c r="A22" s="187"/>
      <c r="B22" s="188"/>
      <c r="C22" s="167"/>
      <c r="D22" s="189"/>
      <c r="E22" s="157"/>
      <c r="F22" s="190"/>
      <c r="G22" s="191">
        <f t="shared" si="0"/>
        <v>0</v>
      </c>
      <c r="H22" s="191"/>
      <c r="I22" s="181"/>
      <c r="J22" s="180">
        <f t="shared" si="1"/>
        <v>66000</v>
      </c>
      <c r="K22" s="182"/>
      <c r="L22" s="180">
        <f>J22/SUM($E$11:E22)</f>
        <v>330</v>
      </c>
    </row>
    <row r="23" spans="1:15" x14ac:dyDescent="0.2">
      <c r="A23" s="187"/>
      <c r="B23" s="188"/>
      <c r="C23" s="167"/>
      <c r="D23" s="189"/>
      <c r="E23" s="157"/>
      <c r="F23" s="190"/>
      <c r="G23" s="191">
        <f t="shared" si="0"/>
        <v>0</v>
      </c>
      <c r="H23" s="191"/>
      <c r="I23" s="181"/>
      <c r="J23" s="180">
        <f t="shared" si="1"/>
        <v>66000</v>
      </c>
      <c r="K23" s="182"/>
      <c r="L23" s="180">
        <f>J23/SUM($E$11:E23)</f>
        <v>330</v>
      </c>
    </row>
    <row r="24" spans="1:15" x14ac:dyDescent="0.2">
      <c r="A24" s="187"/>
      <c r="B24" s="188"/>
      <c r="C24" s="167"/>
      <c r="D24" s="189"/>
      <c r="E24" s="157"/>
      <c r="F24" s="190"/>
      <c r="G24" s="191">
        <f t="shared" si="0"/>
        <v>0</v>
      </c>
      <c r="H24" s="191"/>
      <c r="I24" s="181"/>
      <c r="J24" s="180">
        <f t="shared" si="1"/>
        <v>66000</v>
      </c>
      <c r="K24" s="182"/>
      <c r="L24" s="180">
        <f>J24/SUM($E$11:E24)</f>
        <v>330</v>
      </c>
    </row>
    <row r="25" spans="1:15" x14ac:dyDescent="0.2">
      <c r="A25" s="187"/>
      <c r="B25" s="188"/>
      <c r="C25" s="167"/>
      <c r="D25" s="189"/>
      <c r="E25" s="157"/>
      <c r="F25" s="190"/>
      <c r="G25" s="191">
        <f t="shared" si="0"/>
        <v>0</v>
      </c>
      <c r="H25" s="191"/>
      <c r="I25" s="181"/>
      <c r="J25" s="180">
        <f t="shared" si="1"/>
        <v>66000</v>
      </c>
      <c r="K25" s="182"/>
      <c r="L25" s="180">
        <f>J25/SUM($E$11:E25)</f>
        <v>330</v>
      </c>
    </row>
    <row r="26" spans="1:15" x14ac:dyDescent="0.2">
      <c r="A26" s="187"/>
      <c r="B26" s="188"/>
      <c r="C26" s="167"/>
      <c r="D26" s="189"/>
      <c r="E26" s="157"/>
      <c r="F26" s="190"/>
      <c r="G26" s="191">
        <f t="shared" si="0"/>
        <v>0</v>
      </c>
      <c r="H26" s="191"/>
      <c r="I26" s="181"/>
      <c r="J26" s="180">
        <f t="shared" si="1"/>
        <v>66000</v>
      </c>
      <c r="K26" s="182"/>
      <c r="L26" s="180">
        <f>J26/SUM($E$11:E26)</f>
        <v>330</v>
      </c>
    </row>
    <row r="27" spans="1:15" x14ac:dyDescent="0.2">
      <c r="A27" s="187"/>
      <c r="B27" s="188"/>
      <c r="C27" s="167"/>
      <c r="D27" s="189"/>
      <c r="E27" s="157"/>
      <c r="F27" s="190"/>
      <c r="G27" s="191">
        <f t="shared" si="0"/>
        <v>0</v>
      </c>
      <c r="H27" s="191"/>
      <c r="I27" s="181"/>
      <c r="J27" s="180">
        <f t="shared" si="1"/>
        <v>66000</v>
      </c>
      <c r="K27" s="182"/>
      <c r="L27" s="180">
        <f>J27/SUM($E$11:E27)</f>
        <v>330</v>
      </c>
    </row>
    <row r="28" spans="1:15" x14ac:dyDescent="0.2">
      <c r="A28" s="187"/>
      <c r="B28" s="188"/>
      <c r="C28" s="167"/>
      <c r="D28" s="189"/>
      <c r="E28" s="157"/>
      <c r="F28" s="190"/>
      <c r="G28" s="191">
        <f t="shared" si="0"/>
        <v>0</v>
      </c>
      <c r="H28" s="191"/>
      <c r="I28" s="181"/>
      <c r="J28" s="180">
        <f t="shared" si="1"/>
        <v>66000</v>
      </c>
      <c r="K28" s="182"/>
      <c r="L28" s="180">
        <f>J28/SUM($E$11:E28)</f>
        <v>330</v>
      </c>
    </row>
    <row r="29" spans="1:15" x14ac:dyDescent="0.2">
      <c r="A29" s="187"/>
      <c r="B29" s="188"/>
      <c r="C29" s="167"/>
      <c r="D29" s="189"/>
      <c r="E29" s="157"/>
      <c r="F29" s="190"/>
      <c r="G29" s="191">
        <f t="shared" si="0"/>
        <v>0</v>
      </c>
      <c r="H29" s="191"/>
      <c r="I29" s="181"/>
      <c r="J29" s="180">
        <f t="shared" si="1"/>
        <v>66000</v>
      </c>
      <c r="K29" s="182"/>
      <c r="L29" s="180">
        <f>J29/SUM($E$11:E29)</f>
        <v>330</v>
      </c>
    </row>
    <row r="30" spans="1:15" x14ac:dyDescent="0.2">
      <c r="A30" s="187"/>
      <c r="B30" s="188"/>
      <c r="C30" s="167"/>
      <c r="D30" s="189"/>
      <c r="E30" s="157"/>
      <c r="F30" s="190"/>
      <c r="G30" s="191">
        <f t="shared" si="0"/>
        <v>0</v>
      </c>
      <c r="H30" s="191"/>
      <c r="I30" s="181"/>
      <c r="J30" s="180">
        <f t="shared" si="1"/>
        <v>66000</v>
      </c>
      <c r="K30" s="182"/>
      <c r="L30" s="180">
        <f>J30/SUM($E$11:E30)</f>
        <v>330</v>
      </c>
    </row>
    <row r="31" spans="1:15" x14ac:dyDescent="0.2">
      <c r="A31" s="187"/>
      <c r="B31" s="188"/>
      <c r="C31" s="167"/>
      <c r="D31" s="189"/>
      <c r="E31" s="157"/>
      <c r="F31" s="190"/>
      <c r="G31" s="191">
        <f t="shared" si="0"/>
        <v>0</v>
      </c>
      <c r="H31" s="191"/>
      <c r="I31" s="181"/>
      <c r="J31" s="180">
        <f t="shared" si="1"/>
        <v>66000</v>
      </c>
      <c r="K31" s="182"/>
      <c r="L31" s="180">
        <f>J31/SUM($E$11:E31)</f>
        <v>330</v>
      </c>
    </row>
    <row r="32" spans="1:15" x14ac:dyDescent="0.2">
      <c r="A32" s="187"/>
      <c r="B32" s="188"/>
      <c r="C32" s="167"/>
      <c r="D32" s="189"/>
      <c r="E32" s="157"/>
      <c r="F32" s="190"/>
      <c r="G32" s="191">
        <f t="shared" si="0"/>
        <v>0</v>
      </c>
      <c r="H32" s="191"/>
      <c r="I32" s="181"/>
      <c r="J32" s="180">
        <f t="shared" si="1"/>
        <v>66000</v>
      </c>
      <c r="K32" s="182"/>
      <c r="L32" s="180">
        <f>J32/SUM($E$11:E32)</f>
        <v>330</v>
      </c>
    </row>
    <row r="33" spans="1:12" x14ac:dyDescent="0.2">
      <c r="A33" s="187"/>
      <c r="B33" s="188"/>
      <c r="C33" s="167"/>
      <c r="D33" s="189"/>
      <c r="E33" s="157"/>
      <c r="F33" s="190"/>
      <c r="G33" s="191">
        <f t="shared" si="0"/>
        <v>0</v>
      </c>
      <c r="H33" s="191"/>
      <c r="I33" s="181"/>
      <c r="J33" s="180">
        <f t="shared" si="1"/>
        <v>66000</v>
      </c>
      <c r="K33" s="182"/>
      <c r="L33" s="180">
        <f>J33/SUM($E$11:E33)</f>
        <v>330</v>
      </c>
    </row>
    <row r="34" spans="1:12" x14ac:dyDescent="0.2">
      <c r="A34" s="187"/>
      <c r="B34" s="188"/>
      <c r="C34" s="167"/>
      <c r="D34" s="189"/>
      <c r="E34" s="157"/>
      <c r="F34" s="190"/>
      <c r="G34" s="191">
        <f t="shared" si="0"/>
        <v>0</v>
      </c>
      <c r="H34" s="191"/>
      <c r="I34" s="181"/>
      <c r="J34" s="180">
        <f t="shared" si="1"/>
        <v>66000</v>
      </c>
      <c r="K34" s="182"/>
      <c r="L34" s="180">
        <f>J34/SUM($E$11:E34)</f>
        <v>330</v>
      </c>
    </row>
    <row r="35" spans="1:12" x14ac:dyDescent="0.2">
      <c r="A35" s="187"/>
      <c r="B35" s="188"/>
      <c r="C35" s="167"/>
      <c r="D35" s="189"/>
      <c r="E35" s="157"/>
      <c r="F35" s="190"/>
      <c r="G35" s="191">
        <f t="shared" si="0"/>
        <v>0</v>
      </c>
      <c r="H35" s="191"/>
      <c r="I35" s="181"/>
      <c r="J35" s="180">
        <f t="shared" si="1"/>
        <v>66000</v>
      </c>
      <c r="K35" s="182"/>
      <c r="L35" s="180">
        <f>J35/SUM($E$11:E35)</f>
        <v>330</v>
      </c>
    </row>
    <row r="36" spans="1:12" x14ac:dyDescent="0.2">
      <c r="A36" s="187"/>
      <c r="B36" s="188"/>
      <c r="C36" s="167"/>
      <c r="D36" s="189"/>
      <c r="E36" s="157"/>
      <c r="F36" s="190"/>
      <c r="G36" s="191">
        <f t="shared" si="0"/>
        <v>0</v>
      </c>
      <c r="H36" s="191"/>
      <c r="I36" s="181"/>
      <c r="J36" s="180">
        <f>J19+G36</f>
        <v>66000</v>
      </c>
      <c r="K36" s="182"/>
      <c r="L36" s="180">
        <f>J36/SUM($E$11:E36)</f>
        <v>330</v>
      </c>
    </row>
    <row r="37" spans="1:12" x14ac:dyDescent="0.2">
      <c r="A37" s="187"/>
      <c r="B37" s="188"/>
      <c r="C37" s="167"/>
      <c r="D37" s="189"/>
      <c r="E37" s="157"/>
      <c r="F37" s="190"/>
      <c r="G37" s="191">
        <f t="shared" si="0"/>
        <v>0</v>
      </c>
      <c r="H37" s="191"/>
      <c r="I37" s="181"/>
      <c r="J37" s="180">
        <f t="shared" si="1"/>
        <v>66000</v>
      </c>
      <c r="K37" s="182"/>
      <c r="L37" s="180">
        <f>J37/SUM($E$11:E37)</f>
        <v>330</v>
      </c>
    </row>
    <row r="38" spans="1:12" ht="19" x14ac:dyDescent="0.25">
      <c r="B38" s="15"/>
      <c r="C38" s="58"/>
      <c r="D38" s="16"/>
      <c r="E38" s="155"/>
      <c r="F38" s="18"/>
      <c r="G38" s="165">
        <f>SUM(G11:G37)</f>
        <v>66000</v>
      </c>
      <c r="H38" s="178"/>
      <c r="I38" s="20"/>
      <c r="J38" s="19"/>
      <c r="K38" s="31"/>
      <c r="L38" s="165">
        <f>SUM(G11:G37)/SUM(E11:E38)</f>
        <v>330</v>
      </c>
    </row>
    <row r="39" spans="1:12" ht="6" customHeight="1" x14ac:dyDescent="0.2">
      <c r="B39" s="15"/>
      <c r="C39" s="58"/>
      <c r="D39" s="17"/>
      <c r="E39" s="155"/>
      <c r="F39" s="18"/>
      <c r="G39" s="19"/>
      <c r="H39" s="19"/>
      <c r="I39" s="20"/>
      <c r="J39" s="20"/>
      <c r="K39" s="31"/>
      <c r="L39" s="17"/>
    </row>
    <row r="40" spans="1:12" ht="6.5" customHeight="1" x14ac:dyDescent="0.2">
      <c r="B40" s="15"/>
      <c r="C40" s="58"/>
      <c r="D40" s="17"/>
      <c r="E40" s="155"/>
      <c r="F40" s="18"/>
      <c r="G40" s="19"/>
      <c r="H40" s="19"/>
      <c r="I40" s="20"/>
      <c r="J40" s="20"/>
      <c r="K40" s="31"/>
      <c r="L40" s="17"/>
    </row>
    <row r="41" spans="1:12" ht="20" customHeight="1" x14ac:dyDescent="0.2">
      <c r="B41" s="170" t="s">
        <v>660</v>
      </c>
      <c r="C41" s="167" t="d">
        <v>2025-08-27</v>
      </c>
      <c r="D41" s="189"/>
      <c r="E41" s="155"/>
      <c r="F41" s="190"/>
      <c r="G41" s="180">
        <v>-181</v>
      </c>
      <c r="H41" s="192"/>
      <c r="I41" s="181"/>
      <c r="J41" s="180">
        <f>J13+G41</f>
        <v>65819</v>
      </c>
      <c r="K41" s="182" t="s">
        <v>10</v>
      </c>
      <c r="L41" s="180">
        <f>J41/SUM($E$11:E41)</f>
        <v>329.09500000000003</v>
      </c>
    </row>
    <row r="42" spans="1:12" ht="16" x14ac:dyDescent="0.2">
      <c r="B42" s="170" t="s">
        <v>661</v>
      </c>
      <c r="C42" s="167" t="d">
        <v>2025-09-16</v>
      </c>
      <c r="D42" s="189"/>
      <c r="E42" s="155"/>
      <c r="F42" s="190"/>
      <c r="G42" s="180">
        <v>-193</v>
      </c>
      <c r="H42" s="192"/>
      <c r="I42" s="155"/>
      <c r="J42" s="180">
        <f t="shared" ref="J42:J76" si="2">J41+G42</f>
        <v>65626</v>
      </c>
      <c r="K42" s="182" t="s">
        <v>10</v>
      </c>
      <c r="L42" s="180">
        <f>J42/SUM($E$11:E42)</f>
        <v>328.13</v>
      </c>
    </row>
    <row r="43" spans="1:12" ht="16" x14ac:dyDescent="0.2">
      <c r="B43" s="170" t="s">
        <v>662</v>
      </c>
      <c r="C43" s="167" t="d">
        <v>2025-09-25</v>
      </c>
      <c r="D43" s="189"/>
      <c r="E43" s="155"/>
      <c r="F43" s="187"/>
      <c r="G43" s="180">
        <v>-160</v>
      </c>
      <c r="H43" s="192"/>
      <c r="I43" s="155"/>
      <c r="J43" s="180">
        <f t="shared" si="2"/>
        <v>65466</v>
      </c>
      <c r="K43" s="182" t="s">
        <v>127</v>
      </c>
      <c r="L43" s="180">
        <f>J43/SUM($E$11:E43)</f>
        <v>327.33</v>
      </c>
    </row>
    <row r="44" spans="1:12" ht="16" x14ac:dyDescent="0.2">
      <c r="B44" s="170" t="s">
        <v>663</v>
      </c>
      <c r="C44" s="167" t="d">
        <v>2025-09-29</v>
      </c>
      <c r="D44" s="189"/>
      <c r="E44" s="155"/>
      <c r="F44" s="184"/>
      <c r="G44" s="180">
        <v>-245</v>
      </c>
      <c r="H44" s="192"/>
      <c r="I44" s="155"/>
      <c r="J44" s="180">
        <f t="shared" si="2"/>
        <v>65221</v>
      </c>
      <c r="K44" s="182" t="s">
        <v>281</v>
      </c>
      <c r="L44" s="180">
        <f>J44/SUM($E$11:E44)</f>
        <v>326.10500000000002</v>
      </c>
    </row>
    <row r="45" spans="1:12" ht="16" x14ac:dyDescent="0.2">
      <c r="B45" s="170" t="s">
        <v>664</v>
      </c>
      <c r="C45" s="167" t="d">
        <v>2025-10-01</v>
      </c>
      <c r="D45" s="189"/>
      <c r="E45" s="155"/>
      <c r="F45" s="184"/>
      <c r="G45" s="180">
        <v>-160</v>
      </c>
      <c r="H45" s="192"/>
      <c r="I45" s="155"/>
      <c r="J45" s="180">
        <f t="shared" si="2"/>
        <v>65061</v>
      </c>
      <c r="K45" s="182" t="s">
        <v>127</v>
      </c>
      <c r="L45" s="180">
        <f>J45/SUM($E$11:E45)</f>
        <v>325.30500000000001</v>
      </c>
    </row>
    <row r="46" spans="1:12" ht="16" x14ac:dyDescent="0.2">
      <c r="B46" s="170" t="s">
        <v>669</v>
      </c>
      <c r="C46" s="167" t="d">
        <v>2025-10-02</v>
      </c>
      <c r="D46" s="189"/>
      <c r="E46" s="155"/>
      <c r="F46" s="184"/>
      <c r="G46" s="180">
        <v>29</v>
      </c>
      <c r="H46" s="192"/>
      <c r="I46" s="155"/>
      <c r="J46" s="180">
        <f t="shared" si="2"/>
        <v>65090</v>
      </c>
      <c r="K46" s="182" t="s">
        <v>539</v>
      </c>
      <c r="L46" s="180">
        <f>J46/SUM($E$11:E46)</f>
        <v>325.45</v>
      </c>
    </row>
    <row r="47" spans="1:12" ht="32" x14ac:dyDescent="0.2">
      <c r="B47" s="170" t="s">
        <v>665</v>
      </c>
      <c r="C47" s="167" t="d">
        <v>2025-10-07</v>
      </c>
      <c r="D47" s="189"/>
      <c r="E47" s="155"/>
      <c r="F47" s="184"/>
      <c r="G47" s="180">
        <v>-57</v>
      </c>
      <c r="H47" s="192"/>
      <c r="I47" s="155"/>
      <c r="J47" s="180">
        <f t="shared" si="2"/>
        <v>65033</v>
      </c>
      <c r="K47" s="182" t="s">
        <v>281</v>
      </c>
      <c r="L47" s="180">
        <f>J47/SUM($E$11:E47)</f>
        <v>325.16500000000002</v>
      </c>
    </row>
    <row r="48" spans="1:12" ht="16" x14ac:dyDescent="0.2">
      <c r="B48" s="170" t="s">
        <v>666</v>
      </c>
      <c r="C48" s="167" t="d">
        <v>2025-10-07</v>
      </c>
      <c r="D48" s="189"/>
      <c r="E48" s="155"/>
      <c r="F48" s="184"/>
      <c r="G48" s="180">
        <v>-185</v>
      </c>
      <c r="H48" s="192"/>
      <c r="I48" s="155"/>
      <c r="J48" s="180">
        <f t="shared" si="2"/>
        <v>64848</v>
      </c>
      <c r="K48" s="182"/>
      <c r="L48" s="180">
        <f>J48/SUM($E$11:E48)</f>
        <v>324.24</v>
      </c>
    </row>
    <row r="49" spans="2:12" ht="16" x14ac:dyDescent="0.2">
      <c r="B49" s="170" t="s">
        <v>667</v>
      </c>
      <c r="C49" s="167" t="d">
        <v>2025-10-08</v>
      </c>
      <c r="D49" s="189"/>
      <c r="E49" s="155"/>
      <c r="F49" s="184"/>
      <c r="G49" s="180">
        <v>19</v>
      </c>
      <c r="H49" s="192"/>
      <c r="I49" s="181"/>
      <c r="J49" s="180">
        <f t="shared" si="2"/>
        <v>64867</v>
      </c>
      <c r="K49" s="182" t="s">
        <v>539</v>
      </c>
      <c r="L49" s="180">
        <f>J49/SUM($E$11:E49)</f>
        <v>324.33499999999998</v>
      </c>
    </row>
    <row r="50" spans="2:12" ht="32" x14ac:dyDescent="0.2">
      <c r="B50" s="39" t="s">
        <v>668</v>
      </c>
      <c r="C50" s="167" t="d">
        <v>2025-10-13</v>
      </c>
      <c r="D50" s="189"/>
      <c r="E50" s="155"/>
      <c r="F50" s="184"/>
      <c r="G50" s="180">
        <v>-92</v>
      </c>
      <c r="H50" s="192"/>
      <c r="I50" s="181"/>
      <c r="J50" s="180">
        <f t="shared" si="2"/>
        <v>64775</v>
      </c>
      <c r="K50" s="182"/>
      <c r="L50" s="180">
        <f>J50/SUM($E$11:E50)</f>
        <v>323.875</v>
      </c>
    </row>
    <row r="51" spans="2:12" ht="16" x14ac:dyDescent="0.2">
      <c r="B51" s="170" t="s">
        <v>672</v>
      </c>
      <c r="C51" s="167" t="d">
        <v>2025-10-16</v>
      </c>
      <c r="D51" s="189"/>
      <c r="E51" s="155"/>
      <c r="F51" s="184"/>
      <c r="G51" s="180">
        <v>-195</v>
      </c>
      <c r="H51" s="192"/>
      <c r="I51" s="181"/>
      <c r="J51" s="180">
        <f t="shared" si="2"/>
        <v>64580</v>
      </c>
      <c r="K51" s="182"/>
      <c r="L51" s="180">
        <f>J51/SUM($E$11:E51)</f>
        <v>322.89999999999998</v>
      </c>
    </row>
    <row r="52" spans="2:12" x14ac:dyDescent="0.2">
      <c r="B52" s="170"/>
      <c r="C52" s="167"/>
      <c r="D52" s="189"/>
      <c r="E52" s="155"/>
      <c r="F52" s="184"/>
      <c r="G52" s="180">
        <v>0</v>
      </c>
      <c r="H52" s="192"/>
      <c r="I52" s="181"/>
      <c r="J52" s="180">
        <f t="shared" si="2"/>
        <v>64580</v>
      </c>
      <c r="K52" s="182"/>
      <c r="L52" s="180">
        <f>J52/SUM($E$11:E52)</f>
        <v>322.89999999999998</v>
      </c>
    </row>
    <row r="53" spans="2:12" x14ac:dyDescent="0.2">
      <c r="B53" s="170"/>
      <c r="C53" s="167"/>
      <c r="D53" s="189"/>
      <c r="E53" s="155"/>
      <c r="F53" s="184"/>
      <c r="G53" s="180">
        <v>0</v>
      </c>
      <c r="H53" s="192"/>
      <c r="I53" s="181"/>
      <c r="J53" s="180">
        <f t="shared" si="2"/>
        <v>64580</v>
      </c>
      <c r="K53" s="182"/>
      <c r="L53" s="180">
        <f>J53/SUM($E$11:E53)</f>
        <v>322.89999999999998</v>
      </c>
    </row>
    <row r="54" spans="2:12" x14ac:dyDescent="0.2">
      <c r="B54" s="170"/>
      <c r="C54" s="167"/>
      <c r="D54" s="189"/>
      <c r="E54" s="155"/>
      <c r="F54" s="184"/>
      <c r="G54" s="180">
        <v>0</v>
      </c>
      <c r="H54" s="192"/>
      <c r="I54" s="181"/>
      <c r="J54" s="180">
        <f t="shared" si="2"/>
        <v>64580</v>
      </c>
      <c r="K54" s="182"/>
      <c r="L54" s="180">
        <f>J54/SUM($E$11:E54)</f>
        <v>322.89999999999998</v>
      </c>
    </row>
    <row r="55" spans="2:12" x14ac:dyDescent="0.2">
      <c r="B55" s="170"/>
      <c r="C55" s="167"/>
      <c r="D55" s="189"/>
      <c r="E55" s="155"/>
      <c r="F55" s="184"/>
      <c r="G55" s="180">
        <v>0</v>
      </c>
      <c r="H55" s="192"/>
      <c r="I55" s="181"/>
      <c r="J55" s="180">
        <f t="shared" si="2"/>
        <v>64580</v>
      </c>
      <c r="K55" s="182"/>
      <c r="L55" s="180">
        <f>J55/SUM($E$11:E55)</f>
        <v>322.89999999999998</v>
      </c>
    </row>
    <row r="56" spans="2:12" ht="16" customHeight="1" x14ac:dyDescent="0.2">
      <c r="B56" s="170"/>
      <c r="C56" s="167"/>
      <c r="D56" s="189"/>
      <c r="E56" s="155"/>
      <c r="F56" s="184"/>
      <c r="G56" s="180">
        <v>0</v>
      </c>
      <c r="H56" s="192"/>
      <c r="I56" s="181"/>
      <c r="J56" s="180">
        <f t="shared" si="2"/>
        <v>64580</v>
      </c>
      <c r="K56" s="182"/>
      <c r="L56" s="180">
        <f>J56/SUM($E$11:E56)</f>
        <v>322.89999999999998</v>
      </c>
    </row>
    <row r="57" spans="2:12" ht="18" customHeight="1" x14ac:dyDescent="0.2">
      <c r="B57" s="170"/>
      <c r="C57" s="167"/>
      <c r="D57" s="189"/>
      <c r="E57" s="155"/>
      <c r="F57" s="184"/>
      <c r="G57" s="180">
        <v>0</v>
      </c>
      <c r="H57" s="192"/>
      <c r="I57" s="181"/>
      <c r="J57" s="180">
        <f t="shared" si="2"/>
        <v>64580</v>
      </c>
      <c r="K57" s="182"/>
      <c r="L57" s="180">
        <f>J57/SUM($E$11:E57)</f>
        <v>322.89999999999998</v>
      </c>
    </row>
    <row r="58" spans="2:12" x14ac:dyDescent="0.2">
      <c r="B58" s="170"/>
      <c r="C58" s="167"/>
      <c r="D58" s="189"/>
      <c r="E58" s="155"/>
      <c r="F58" s="184"/>
      <c r="G58" s="180">
        <v>0</v>
      </c>
      <c r="H58" s="192"/>
      <c r="I58" s="181"/>
      <c r="J58" s="180">
        <f t="shared" si="2"/>
        <v>64580</v>
      </c>
      <c r="K58" s="182"/>
      <c r="L58" s="180">
        <f>J58/SUM($E$11:E58)</f>
        <v>322.89999999999998</v>
      </c>
    </row>
    <row r="59" spans="2:12" x14ac:dyDescent="0.2">
      <c r="B59" s="170"/>
      <c r="C59" s="167"/>
      <c r="D59" s="189"/>
      <c r="E59" s="155"/>
      <c r="F59" s="184"/>
      <c r="G59" s="180">
        <v>0</v>
      </c>
      <c r="H59" s="192"/>
      <c r="I59" s="181"/>
      <c r="J59" s="180">
        <f t="shared" si="2"/>
        <v>64580</v>
      </c>
      <c r="K59" s="182"/>
      <c r="L59" s="180">
        <f>J59/SUM($E$11:E59)</f>
        <v>322.89999999999998</v>
      </c>
    </row>
    <row r="60" spans="2:12" x14ac:dyDescent="0.2">
      <c r="B60" s="170"/>
      <c r="C60" s="167"/>
      <c r="D60" s="189"/>
      <c r="E60" s="155"/>
      <c r="F60" s="184"/>
      <c r="G60" s="180">
        <v>0</v>
      </c>
      <c r="H60" s="192"/>
      <c r="I60" s="181"/>
      <c r="J60" s="180">
        <f t="shared" si="2"/>
        <v>64580</v>
      </c>
      <c r="K60" s="182"/>
      <c r="L60" s="180">
        <f>J60/SUM($E$11:E60)</f>
        <v>322.89999999999998</v>
      </c>
    </row>
    <row r="61" spans="2:12" x14ac:dyDescent="0.2">
      <c r="B61" s="170"/>
      <c r="C61" s="167"/>
      <c r="D61" s="189"/>
      <c r="E61" s="155"/>
      <c r="F61" s="184"/>
      <c r="G61" s="180">
        <v>0</v>
      </c>
      <c r="H61" s="192"/>
      <c r="I61" s="181"/>
      <c r="J61" s="180">
        <f t="shared" si="2"/>
        <v>64580</v>
      </c>
      <c r="K61" s="182"/>
      <c r="L61" s="180">
        <f>J61/SUM($E$11:E61)</f>
        <v>322.89999999999998</v>
      </c>
    </row>
    <row r="62" spans="2:12" x14ac:dyDescent="0.2">
      <c r="B62" s="170"/>
      <c r="C62" s="167"/>
      <c r="D62" s="189"/>
      <c r="E62" s="155"/>
      <c r="F62" s="184"/>
      <c r="G62" s="180">
        <v>0</v>
      </c>
      <c r="H62" s="192"/>
      <c r="I62" s="181"/>
      <c r="J62" s="180">
        <f t="shared" si="2"/>
        <v>64580</v>
      </c>
      <c r="K62" s="182"/>
      <c r="L62" s="180">
        <f>J62/SUM($E$11:E62)</f>
        <v>322.89999999999998</v>
      </c>
    </row>
    <row r="63" spans="2:12" x14ac:dyDescent="0.2">
      <c r="B63" s="170"/>
      <c r="C63" s="167"/>
      <c r="D63" s="189"/>
      <c r="E63" s="155"/>
      <c r="F63" s="184"/>
      <c r="G63" s="180">
        <v>0</v>
      </c>
      <c r="H63" s="192"/>
      <c r="I63" s="181"/>
      <c r="J63" s="180">
        <f t="shared" si="2"/>
        <v>64580</v>
      </c>
      <c r="K63" s="182"/>
      <c r="L63" s="180">
        <f>J63/SUM($E$11:E63)</f>
        <v>322.89999999999998</v>
      </c>
    </row>
    <row r="64" spans="2:12" x14ac:dyDescent="0.2">
      <c r="B64" s="170"/>
      <c r="C64" s="167"/>
      <c r="D64" s="189"/>
      <c r="E64" s="155"/>
      <c r="F64" s="184"/>
      <c r="G64" s="180">
        <v>0</v>
      </c>
      <c r="H64" s="192"/>
      <c r="I64" s="181"/>
      <c r="J64" s="180">
        <f t="shared" si="2"/>
        <v>64580</v>
      </c>
      <c r="K64" s="182"/>
      <c r="L64" s="180">
        <f>J64/SUM($E$11:E64)</f>
        <v>322.89999999999998</v>
      </c>
    </row>
    <row r="65" spans="2:12" x14ac:dyDescent="0.2">
      <c r="B65" s="170"/>
      <c r="C65" s="167"/>
      <c r="D65" s="189"/>
      <c r="E65" s="155"/>
      <c r="F65" s="184"/>
      <c r="G65" s="180">
        <v>0</v>
      </c>
      <c r="H65" s="192"/>
      <c r="I65" s="181"/>
      <c r="J65" s="180">
        <f t="shared" si="2"/>
        <v>64580</v>
      </c>
      <c r="K65" s="182"/>
      <c r="L65" s="180">
        <f>J65/SUM($E$11:E65)</f>
        <v>322.89999999999998</v>
      </c>
    </row>
    <row r="66" spans="2:12" x14ac:dyDescent="0.2">
      <c r="B66" s="170"/>
      <c r="C66" s="167"/>
      <c r="D66" s="189"/>
      <c r="E66" s="155"/>
      <c r="F66" s="184"/>
      <c r="G66" s="180">
        <v>0</v>
      </c>
      <c r="H66" s="192"/>
      <c r="I66" s="181"/>
      <c r="J66" s="180">
        <f t="shared" si="2"/>
        <v>64580</v>
      </c>
      <c r="K66" s="182"/>
      <c r="L66" s="180">
        <f>J66/SUM($E$11:E66)</f>
        <v>322.89999999999998</v>
      </c>
    </row>
    <row r="67" spans="2:12" x14ac:dyDescent="0.2">
      <c r="B67" s="170"/>
      <c r="C67" s="167"/>
      <c r="D67" s="189"/>
      <c r="E67" s="155"/>
      <c r="F67" s="184"/>
      <c r="G67" s="180">
        <v>0</v>
      </c>
      <c r="H67" s="192"/>
      <c r="I67" s="181"/>
      <c r="J67" s="180">
        <f t="shared" si="2"/>
        <v>64580</v>
      </c>
      <c r="K67" s="182"/>
      <c r="L67" s="180">
        <f>J67/SUM($E$11:E67)</f>
        <v>322.89999999999998</v>
      </c>
    </row>
    <row r="68" spans="2:12" x14ac:dyDescent="0.2">
      <c r="B68" s="170"/>
      <c r="C68" s="167"/>
      <c r="D68" s="189"/>
      <c r="E68" s="155"/>
      <c r="F68" s="184"/>
      <c r="G68" s="180">
        <v>0</v>
      </c>
      <c r="H68" s="192"/>
      <c r="I68" s="181"/>
      <c r="J68" s="180">
        <f t="shared" si="2"/>
        <v>64580</v>
      </c>
      <c r="K68" s="182"/>
      <c r="L68" s="180">
        <f>J68/SUM($E$11:E68)</f>
        <v>322.89999999999998</v>
      </c>
    </row>
    <row r="69" spans="2:12" x14ac:dyDescent="0.2">
      <c r="B69" s="170"/>
      <c r="C69" s="167"/>
      <c r="D69" s="189"/>
      <c r="E69" s="155"/>
      <c r="F69" s="184"/>
      <c r="G69" s="180">
        <v>0</v>
      </c>
      <c r="H69" s="192"/>
      <c r="I69" s="181"/>
      <c r="J69" s="180">
        <f t="shared" si="2"/>
        <v>64580</v>
      </c>
      <c r="K69" s="182"/>
      <c r="L69" s="180">
        <f>J69/SUM($E$11:E69)</f>
        <v>322.89999999999998</v>
      </c>
    </row>
    <row r="70" spans="2:12" x14ac:dyDescent="0.2">
      <c r="B70" s="170"/>
      <c r="C70" s="167"/>
      <c r="D70" s="189"/>
      <c r="E70" s="155"/>
      <c r="F70" s="184"/>
      <c r="G70" s="180">
        <v>0</v>
      </c>
      <c r="H70" s="192"/>
      <c r="I70" s="181"/>
      <c r="J70" s="180">
        <f t="shared" si="2"/>
        <v>64580</v>
      </c>
      <c r="K70" s="182"/>
      <c r="L70" s="180">
        <f>J70/SUM($E$11:E70)</f>
        <v>322.89999999999998</v>
      </c>
    </row>
    <row r="71" spans="2:12" x14ac:dyDescent="0.2">
      <c r="B71" s="170"/>
      <c r="C71" s="167"/>
      <c r="D71" s="189"/>
      <c r="E71" s="155"/>
      <c r="F71" s="184"/>
      <c r="G71" s="180">
        <v>0</v>
      </c>
      <c r="H71" s="192"/>
      <c r="I71" s="181"/>
      <c r="J71" s="180">
        <f t="shared" si="2"/>
        <v>64580</v>
      </c>
      <c r="K71" s="182"/>
      <c r="L71" s="180">
        <f>J71/SUM($E$11:E71)</f>
        <v>322.89999999999998</v>
      </c>
    </row>
    <row r="72" spans="2:12" x14ac:dyDescent="0.2">
      <c r="B72" s="170"/>
      <c r="C72" s="167"/>
      <c r="D72" s="189"/>
      <c r="E72" s="155"/>
      <c r="F72" s="184"/>
      <c r="G72" s="180">
        <v>0</v>
      </c>
      <c r="H72" s="192"/>
      <c r="I72" s="181"/>
      <c r="J72" s="180">
        <f t="shared" si="2"/>
        <v>64580</v>
      </c>
      <c r="K72" s="182"/>
      <c r="L72" s="180">
        <f>J72/SUM($E$11:E72)</f>
        <v>322.89999999999998</v>
      </c>
    </row>
    <row r="73" spans="2:12" x14ac:dyDescent="0.2">
      <c r="B73" s="170"/>
      <c r="C73" s="167"/>
      <c r="D73" s="189"/>
      <c r="E73" s="155"/>
      <c r="F73" s="184"/>
      <c r="G73" s="180">
        <v>0</v>
      </c>
      <c r="H73" s="192"/>
      <c r="I73" s="181"/>
      <c r="J73" s="180">
        <f t="shared" si="2"/>
        <v>64580</v>
      </c>
      <c r="K73" s="182"/>
      <c r="L73" s="180">
        <f>J73/SUM($E$11:E73)</f>
        <v>322.89999999999998</v>
      </c>
    </row>
    <row r="74" spans="2:12" x14ac:dyDescent="0.2">
      <c r="B74" s="170"/>
      <c r="C74" s="167"/>
      <c r="D74" s="189"/>
      <c r="E74" s="155"/>
      <c r="F74" s="184"/>
      <c r="G74" s="180">
        <v>0</v>
      </c>
      <c r="H74" s="192"/>
      <c r="I74" s="181"/>
      <c r="J74" s="180">
        <f t="shared" si="2"/>
        <v>64580</v>
      </c>
      <c r="K74" s="182"/>
      <c r="L74" s="180">
        <f>J74/SUM($E$11:E74)</f>
        <v>322.89999999999998</v>
      </c>
    </row>
    <row r="75" spans="2:12" x14ac:dyDescent="0.2">
      <c r="B75" s="170"/>
      <c r="C75" s="167"/>
      <c r="D75" s="189"/>
      <c r="E75" s="155"/>
      <c r="F75" s="184"/>
      <c r="G75" s="180">
        <v>0</v>
      </c>
      <c r="H75" s="192"/>
      <c r="I75" s="181"/>
      <c r="J75" s="180">
        <f t="shared" si="2"/>
        <v>64580</v>
      </c>
      <c r="K75" s="182"/>
      <c r="L75" s="180">
        <f>J75/SUM($E$11:E75)</f>
        <v>322.89999999999998</v>
      </c>
    </row>
    <row r="76" spans="2:12" x14ac:dyDescent="0.2">
      <c r="B76" s="170"/>
      <c r="C76" s="167"/>
      <c r="D76" s="189"/>
      <c r="E76" s="155"/>
      <c r="F76" s="184"/>
      <c r="G76" s="180">
        <v>0</v>
      </c>
      <c r="H76" s="192"/>
      <c r="I76" s="181"/>
      <c r="J76" s="180">
        <f t="shared" si="2"/>
        <v>64580</v>
      </c>
      <c r="K76" s="182"/>
      <c r="L76" s="180">
        <f>J76/SUM($E$11:E76)</f>
        <v>322.89999999999998</v>
      </c>
    </row>
    <row r="77" spans="2:12" ht="19" x14ac:dyDescent="0.25">
      <c r="B77" s="15"/>
      <c r="C77" s="58"/>
      <c r="D77" s="16"/>
      <c r="E77" s="155"/>
      <c r="F77" s="18"/>
      <c r="G77" s="165">
        <f>SUM(G41:G76)</f>
        <v>-1420</v>
      </c>
      <c r="H77" s="178"/>
      <c r="I77" s="20"/>
      <c r="J77" s="19"/>
      <c r="K77" s="31"/>
      <c r="L77" s="165">
        <f>J77/3400</f>
        <v>0</v>
      </c>
    </row>
    <row r="78" spans="2:12" ht="4.75" customHeight="1" x14ac:dyDescent="0.2">
      <c r="B78" s="15"/>
      <c r="C78" s="58"/>
      <c r="D78" s="17"/>
      <c r="E78" s="155"/>
      <c r="F78" s="18"/>
      <c r="G78" s="19"/>
      <c r="H78" s="19"/>
      <c r="I78" s="20"/>
      <c r="J78" s="20"/>
      <c r="K78" s="31"/>
      <c r="L78" s="17"/>
    </row>
    <row r="79" spans="2:12" ht="14" customHeight="1" x14ac:dyDescent="0.25">
      <c r="B79" s="15"/>
      <c r="C79" s="58"/>
      <c r="D79" s="17"/>
      <c r="E79" s="158"/>
      <c r="F79" s="24"/>
      <c r="I79" s="20"/>
      <c r="J79" s="20"/>
      <c r="K79" s="31"/>
      <c r="L79" s="17"/>
    </row>
  </sheetData>
  <mergeCells count="2">
    <mergeCell ref="B1:C1"/>
    <mergeCell ref="B8:G8"/>
  </mergeCells>
  <conditionalFormatting sqref="B77:B116">
    <cfRule type="expression" dxfId="621" priority="30" stopIfTrue="1">
      <formula>K77="assigned"</formula>
    </cfRule>
    <cfRule type="expression" dxfId="620" priority="31">
      <formula>K77="expired"</formula>
    </cfRule>
  </conditionalFormatting>
  <conditionalFormatting sqref="B77:B116">
    <cfRule type="expression" dxfId="619" priority="28">
      <formula>AND(ISNUMBER(SEARCH("call", B77)), K77="expired")</formula>
    </cfRule>
    <cfRule type="expression" dxfId="618" priority="29">
      <formula>AND(ISNUMBER(SEARCH("call", B77)), K77="assigned")</formula>
    </cfRule>
  </conditionalFormatting>
  <conditionalFormatting sqref="B41:B49 B51:B76">
    <cfRule type="expression" dxfId="617" priority="21" stopIfTrue="1">
      <formula>K41="closing"</formula>
    </cfRule>
    <cfRule type="expression" dxfId="616" priority="22" stopIfTrue="1">
      <formula>K41="closed"</formula>
    </cfRule>
    <cfRule type="expression" dxfId="615" priority="23" stopIfTrue="1">
      <formula>K41="ROLL"</formula>
    </cfRule>
    <cfRule type="expression" dxfId="614" priority="24" stopIfTrue="1">
      <formula>AND(ISNUMBER(SEARCH("call", B41)), K41="expired")</formula>
    </cfRule>
    <cfRule type="expression" dxfId="613" priority="25" stopIfTrue="1">
      <formula>AND(ISNUMBER(SEARCH("call", B41)), K41="assigned")</formula>
    </cfRule>
    <cfRule type="expression" dxfId="612" priority="26" stopIfTrue="1">
      <formula>K41="assigned"</formula>
    </cfRule>
    <cfRule type="expression" dxfId="611" priority="27">
      <formula>K41="expired"</formula>
    </cfRule>
  </conditionalFormatting>
  <conditionalFormatting sqref="B50">
    <cfRule type="expression" dxfId="610" priority="1" stopIfTrue="1">
      <formula>J50="ROLL"</formula>
    </cfRule>
    <cfRule type="expression" dxfId="609" priority="2" stopIfTrue="1">
      <formula>AND(ISNUMBER(SEARCH("call", B50)), J50="expired")</formula>
    </cfRule>
    <cfRule type="expression" dxfId="608" priority="3" stopIfTrue="1">
      <formula>AND(ISNUMBER(SEARCH("call", B50)), J50="assigned")</formula>
    </cfRule>
    <cfRule type="expression" dxfId="607" priority="4" stopIfTrue="1">
      <formula>J50="assigned"</formula>
    </cfRule>
    <cfRule type="expression" dxfId="606" priority="5">
      <formula>J50="expired"</formula>
    </cfRule>
  </conditionalFormatting>
  <pageMargins left="0.7" right="0.7" top="0.75" bottom="0.75" header="0.3" footer="0.3"/>
  <pageSetup paperSize="0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B86D-6206-4940-ADA2-1A2F195E621E}">
  <sheetPr codeName="Sheet36"/>
  <dimension ref="B1:N79"/>
  <sheetViews>
    <sheetView zoomScale="120" zoomScaleNormal="120" workbookViewId="0">
      <selection activeCell="C66" sqref="C66"/>
    </sheetView>
  </sheetViews>
  <sheetFormatPr baseColWidth="10" defaultColWidth="8.83203125" defaultRowHeight="15" x14ac:dyDescent="0.2"/>
  <cols>
    <col min="1" max="1" width="6" customWidth="1"/>
    <col min="2" max="2" width="38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316</v>
      </c>
      <c r="C1" s="197"/>
    </row>
    <row r="2" spans="2:14" x14ac:dyDescent="0.2">
      <c r="B2" s="1" t="s">
        <v>479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-774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>
        <v>125</v>
      </c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>
        <v>116</v>
      </c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342</v>
      </c>
      <c r="C41" s="58" t="d">
        <v>2025-02-25</v>
      </c>
      <c r="D41" s="16"/>
      <c r="E41" s="155"/>
      <c r="F41" s="21"/>
      <c r="G41" s="36">
        <f>-117*3</f>
        <v>-351</v>
      </c>
      <c r="H41" s="20"/>
      <c r="I41" s="36">
        <f>I13+G41</f>
        <v>-351</v>
      </c>
      <c r="J41" s="31" t="s">
        <v>281</v>
      </c>
      <c r="K41" s="36" t="e">
        <f>I41/SUM($E$11:E41)</f>
        <v>#DIV/0!</v>
      </c>
    </row>
    <row r="42" spans="2:11" ht="32" x14ac:dyDescent="0.2">
      <c r="B42" s="39" t="s">
        <v>343</v>
      </c>
      <c r="C42" s="58" t="d">
        <v>2025-03-04</v>
      </c>
      <c r="D42" s="16"/>
      <c r="E42" s="155"/>
      <c r="F42" s="21"/>
      <c r="G42" s="36">
        <f>-57*3</f>
        <v>-171</v>
      </c>
      <c r="H42" s="17"/>
      <c r="I42" s="36">
        <f t="shared" ref="I42:I76" si="2">I41+G42</f>
        <v>-522</v>
      </c>
      <c r="J42" s="31" t="s">
        <v>281</v>
      </c>
      <c r="K42" s="36" t="e">
        <f>I42/SUM($E$11:E42)</f>
        <v>#DIV/0!</v>
      </c>
    </row>
    <row r="43" spans="2:11" ht="32" x14ac:dyDescent="0.2">
      <c r="B43" s="39" t="s">
        <v>344</v>
      </c>
      <c r="C43" s="58" t="d">
        <v>2025-03-13</v>
      </c>
      <c r="D43" s="16"/>
      <c r="E43" s="155"/>
      <c r="G43" s="36">
        <f>-25*3</f>
        <v>-75</v>
      </c>
      <c r="H43" s="17"/>
      <c r="I43" s="36">
        <f t="shared" si="2"/>
        <v>-597</v>
      </c>
      <c r="J43" s="31" t="s">
        <v>281</v>
      </c>
      <c r="K43" s="36" t="e">
        <f>I43/SUM($E$11:E43)</f>
        <v>#DIV/0!</v>
      </c>
    </row>
    <row r="44" spans="2:11" ht="32" x14ac:dyDescent="0.2">
      <c r="B44" s="39" t="s">
        <v>345</v>
      </c>
      <c r="C44" s="58" t="d">
        <v>2025-04-08</v>
      </c>
      <c r="D44" s="16"/>
      <c r="E44" s="155"/>
      <c r="F44" s="18"/>
      <c r="G44" s="36">
        <f>-20*3</f>
        <v>-60</v>
      </c>
      <c r="H44" s="17"/>
      <c r="I44" s="36">
        <f t="shared" si="2"/>
        <v>-657</v>
      </c>
      <c r="J44" s="31" t="s">
        <v>127</v>
      </c>
      <c r="K44" s="36" t="e">
        <f>I44/SUM($E$11:E44)</f>
        <v>#DIV/0!</v>
      </c>
    </row>
    <row r="45" spans="2:11" ht="16" x14ac:dyDescent="0.2">
      <c r="B45" s="39" t="s">
        <v>346</v>
      </c>
      <c r="C45" s="58" t="d">
        <v>2025-04-08</v>
      </c>
      <c r="D45" s="16"/>
      <c r="E45" s="155"/>
      <c r="F45" s="18"/>
      <c r="G45" s="36">
        <v>-27</v>
      </c>
      <c r="H45" s="17"/>
      <c r="I45" s="36">
        <f t="shared" si="2"/>
        <v>-684</v>
      </c>
      <c r="J45" s="31" t="s">
        <v>10</v>
      </c>
      <c r="K45" s="36" t="e">
        <f>I45/SUM($E$11:E45)</f>
        <v>#DIV/0!</v>
      </c>
    </row>
    <row r="46" spans="2:11" ht="23" customHeight="1" x14ac:dyDescent="0.2">
      <c r="B46" s="39" t="s">
        <v>347</v>
      </c>
      <c r="C46" s="58" t="d">
        <v>2025-04-17</v>
      </c>
      <c r="D46" s="16"/>
      <c r="E46" s="155"/>
      <c r="F46" s="18"/>
      <c r="G46" s="36">
        <v>-54</v>
      </c>
      <c r="H46" s="17"/>
      <c r="I46" s="36">
        <f t="shared" si="2"/>
        <v>-738</v>
      </c>
      <c r="J46" s="31" t="s">
        <v>10</v>
      </c>
      <c r="K46" s="36" t="e">
        <f>I46/SUM($E$11:E46)</f>
        <v>#DIV/0!</v>
      </c>
    </row>
    <row r="47" spans="2:11" ht="23" customHeight="1" x14ac:dyDescent="0.2">
      <c r="B47" s="39" t="s">
        <v>365</v>
      </c>
      <c r="C47" s="58" t="d">
        <v>2025-04-21</v>
      </c>
      <c r="D47" s="16"/>
      <c r="E47" s="155"/>
      <c r="F47" s="18"/>
      <c r="G47" s="36">
        <v>-27</v>
      </c>
      <c r="H47" s="17"/>
      <c r="I47" s="36">
        <f t="shared" si="2"/>
        <v>-765</v>
      </c>
      <c r="J47" s="31" t="s">
        <v>10</v>
      </c>
      <c r="K47" s="36" t="e">
        <f>I47/SUM($E$11:E47)</f>
        <v>#DIV/0!</v>
      </c>
    </row>
    <row r="48" spans="2:11" ht="16" x14ac:dyDescent="0.2">
      <c r="B48" s="39" t="s">
        <v>412</v>
      </c>
      <c r="C48" s="58" t="d">
        <v>2025-04-30</v>
      </c>
      <c r="D48" s="16"/>
      <c r="E48" s="155"/>
      <c r="F48" s="18"/>
      <c r="G48" s="36">
        <v>-68</v>
      </c>
      <c r="H48" s="17"/>
      <c r="I48" s="36">
        <f t="shared" si="2"/>
        <v>-833</v>
      </c>
      <c r="J48" s="31" t="s">
        <v>10</v>
      </c>
      <c r="K48" s="36" t="e">
        <f>I48/SUM($E$11:E48)</f>
        <v>#DIV/0!</v>
      </c>
    </row>
    <row r="49" spans="2:11" ht="16" x14ac:dyDescent="0.2">
      <c r="B49" s="39" t="s">
        <v>444</v>
      </c>
      <c r="C49" s="58" t="d">
        <v>2025-05-23</v>
      </c>
      <c r="D49" s="16"/>
      <c r="E49" s="155"/>
      <c r="F49" s="18"/>
      <c r="G49" s="36">
        <v>-61</v>
      </c>
      <c r="H49" s="20"/>
      <c r="I49" s="36">
        <f t="shared" si="2"/>
        <v>-894</v>
      </c>
      <c r="J49" s="31" t="s">
        <v>10</v>
      </c>
      <c r="K49" s="36" t="e">
        <f>I49/SUM($E$11:E49)</f>
        <v>#DIV/0!</v>
      </c>
    </row>
    <row r="50" spans="2:11" ht="17" customHeight="1" x14ac:dyDescent="0.2">
      <c r="B50" s="39" t="s">
        <v>671</v>
      </c>
      <c r="C50" s="58" t="d">
        <v>2025-07-02</v>
      </c>
      <c r="D50" s="16"/>
      <c r="E50" s="155"/>
      <c r="F50" s="18"/>
      <c r="G50" s="36">
        <f>40*3</f>
        <v>120</v>
      </c>
      <c r="H50" s="20"/>
      <c r="I50" s="36">
        <f t="shared" si="2"/>
        <v>-774</v>
      </c>
      <c r="J50" s="31" t="s">
        <v>539</v>
      </c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-774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-774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-774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-774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-774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-774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-774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-774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-774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-774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-774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-774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-774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-774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-774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-774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-774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-774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-774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-774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-774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-774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-774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-774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-774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-774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-774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605" priority="48" stopIfTrue="1">
      <formula>J77="assigned"</formula>
    </cfRule>
    <cfRule type="expression" dxfId="604" priority="49">
      <formula>J77="expired"</formula>
    </cfRule>
  </conditionalFormatting>
  <conditionalFormatting sqref="B77:B116">
    <cfRule type="expression" dxfId="603" priority="46">
      <formula>AND(ISNUMBER(SEARCH("call", B77)), J77="expired")</formula>
    </cfRule>
    <cfRule type="expression" dxfId="602" priority="47">
      <formula>AND(ISNUMBER(SEARCH("call", B77)), J77="assigned")</formula>
    </cfRule>
  </conditionalFormatting>
  <conditionalFormatting sqref="B41:B76">
    <cfRule type="expression" dxfId="601" priority="1" stopIfTrue="1">
      <formula>J41="ROLL"</formula>
    </cfRule>
    <cfRule type="expression" dxfId="600" priority="2" stopIfTrue="1">
      <formula>AND(ISNUMBER(SEARCH("call", B41)), J41="expired")</formula>
    </cfRule>
    <cfRule type="expression" dxfId="599" priority="3" stopIfTrue="1">
      <formula>AND(ISNUMBER(SEARCH("call", B41)), J41="assigned")</formula>
    </cfRule>
    <cfRule type="expression" dxfId="598" priority="4" stopIfTrue="1">
      <formula>J41="assigned"</formula>
    </cfRule>
    <cfRule type="expression" dxfId="597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759F-BE07-E545-9E81-EDF334F1863D}">
  <sheetPr codeName="Sheet48"/>
  <dimension ref="B1:N79"/>
  <sheetViews>
    <sheetView zoomScale="120" zoomScaleNormal="120" workbookViewId="0">
      <selection activeCell="B48" sqref="B48"/>
    </sheetView>
  </sheetViews>
  <sheetFormatPr baseColWidth="10" defaultColWidth="8.83203125" defaultRowHeight="15" x14ac:dyDescent="0.2"/>
  <cols>
    <col min="1" max="1" width="6" customWidth="1"/>
    <col min="2" max="2" width="40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408</v>
      </c>
      <c r="C1" s="197"/>
    </row>
    <row r="2" spans="2:14" x14ac:dyDescent="0.2">
      <c r="B2" s="1" t="s">
        <v>409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-2090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410</v>
      </c>
      <c r="C41" s="58" t="d">
        <v>2025-04-30</v>
      </c>
      <c r="D41" s="16"/>
      <c r="E41" s="155"/>
      <c r="F41" s="21"/>
      <c r="G41" s="36">
        <v>-77</v>
      </c>
      <c r="H41" s="20"/>
      <c r="I41" s="36">
        <f>I13+G41</f>
        <v>-77</v>
      </c>
      <c r="J41" s="31" t="s">
        <v>10</v>
      </c>
      <c r="K41" s="36" t="e">
        <f>I41/SUM($E$11:E41)</f>
        <v>#DIV/0!</v>
      </c>
    </row>
    <row r="42" spans="2:11" ht="16" x14ac:dyDescent="0.2">
      <c r="B42" s="39" t="s">
        <v>413</v>
      </c>
      <c r="C42" s="58" t="d">
        <v>2025-05-06</v>
      </c>
      <c r="D42" s="16"/>
      <c r="E42" s="155"/>
      <c r="F42" s="21"/>
      <c r="G42" s="36">
        <f>-113*2</f>
        <v>-226</v>
      </c>
      <c r="H42" s="17"/>
      <c r="I42" s="36">
        <f t="shared" ref="I42:I76" si="2">I41+G42</f>
        <v>-303</v>
      </c>
      <c r="J42" s="31" t="s">
        <v>10</v>
      </c>
      <c r="K42" s="36" t="e">
        <f>I42/SUM($E$11:E42)</f>
        <v>#DIV/0!</v>
      </c>
    </row>
    <row r="43" spans="2:11" ht="16" x14ac:dyDescent="0.2">
      <c r="B43" s="39" t="s">
        <v>649</v>
      </c>
      <c r="C43" s="58" t="d">
        <v>2025-05-20</v>
      </c>
      <c r="D43" s="16"/>
      <c r="E43" s="155"/>
      <c r="G43" s="36">
        <v>-112</v>
      </c>
      <c r="H43" s="17"/>
      <c r="I43" s="36">
        <f t="shared" si="2"/>
        <v>-415</v>
      </c>
      <c r="J43" s="31" t="s">
        <v>10</v>
      </c>
      <c r="K43" s="36" t="e">
        <f>I43/SUM($E$11:E43)</f>
        <v>#DIV/0!</v>
      </c>
    </row>
    <row r="44" spans="2:11" ht="16" x14ac:dyDescent="0.2">
      <c r="B44" s="39" t="s">
        <v>650</v>
      </c>
      <c r="C44" s="58" t="d">
        <v>2025-06-03</v>
      </c>
      <c r="D44" s="16"/>
      <c r="E44" s="155"/>
      <c r="F44" s="18"/>
      <c r="G44" s="36">
        <v>-129</v>
      </c>
      <c r="H44" s="17"/>
      <c r="I44" s="36">
        <f t="shared" si="2"/>
        <v>-544</v>
      </c>
      <c r="J44" s="31" t="s">
        <v>10</v>
      </c>
      <c r="K44" s="36" t="e">
        <f>I44/SUM($E$11:E44)</f>
        <v>#DIV/0!</v>
      </c>
    </row>
    <row r="45" spans="2:11" ht="16" x14ac:dyDescent="0.2">
      <c r="B45" s="39" t="s">
        <v>651</v>
      </c>
      <c r="C45" s="58" t="d">
        <v>2025-07-31</v>
      </c>
      <c r="D45" s="16"/>
      <c r="E45" s="155"/>
      <c r="F45" s="18"/>
      <c r="G45" s="36">
        <v>-14</v>
      </c>
      <c r="H45" s="17"/>
      <c r="I45" s="36">
        <f t="shared" si="2"/>
        <v>-558</v>
      </c>
      <c r="J45" s="31" t="s">
        <v>10</v>
      </c>
      <c r="K45" s="36" t="e">
        <f>I45/SUM($E$11:E45)</f>
        <v>#DIV/0!</v>
      </c>
    </row>
    <row r="46" spans="2:11" ht="32" x14ac:dyDescent="0.2">
      <c r="B46" s="39" t="s">
        <v>652</v>
      </c>
      <c r="C46" s="58" t="d">
        <v>2025-08-15</v>
      </c>
      <c r="D46" s="16"/>
      <c r="E46" s="155"/>
      <c r="F46" s="18"/>
      <c r="G46" s="36">
        <f>-24*40</f>
        <v>-960</v>
      </c>
      <c r="H46" s="17"/>
      <c r="I46" s="36">
        <f t="shared" si="2"/>
        <v>-1518</v>
      </c>
      <c r="J46" s="31" t="s">
        <v>10</v>
      </c>
      <c r="K46" s="36" t="e">
        <f>I46/SUM($E$11:E46)</f>
        <v>#DIV/0!</v>
      </c>
    </row>
    <row r="47" spans="2:11" ht="32" x14ac:dyDescent="0.2">
      <c r="B47" s="39" t="s">
        <v>653</v>
      </c>
      <c r="C47" s="58" t="d">
        <v>2025-09-09</v>
      </c>
      <c r="D47" s="16"/>
      <c r="E47" s="155"/>
      <c r="F47" s="18"/>
      <c r="G47" s="36">
        <f>-22*20</f>
        <v>-440</v>
      </c>
      <c r="H47" s="17"/>
      <c r="I47" s="36">
        <f t="shared" si="2"/>
        <v>-1958</v>
      </c>
      <c r="J47" s="31" t="s">
        <v>10</v>
      </c>
      <c r="K47" s="36" t="e">
        <f>I47/SUM($E$11:E47)</f>
        <v>#DIV/0!</v>
      </c>
    </row>
    <row r="48" spans="2:11" ht="16" x14ac:dyDescent="0.2">
      <c r="B48" s="39" t="s">
        <v>685</v>
      </c>
      <c r="C48" s="58" t="d">
        <v>2025-10-21</v>
      </c>
      <c r="D48" s="16"/>
      <c r="E48" s="155"/>
      <c r="F48" s="18"/>
      <c r="G48" s="36">
        <v>-132</v>
      </c>
      <c r="H48" s="17"/>
      <c r="I48" s="36">
        <f t="shared" si="2"/>
        <v>-2090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-2090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-2090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-2090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-2090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-2090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-2090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-2090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-2090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-2090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-2090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-2090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-2090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-2090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-2090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-2090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-2090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-2090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-2090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-2090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-2090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-2090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-2090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-2090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-2090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-2090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-2090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-2090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-2090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-2090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596" priority="14" stopIfTrue="1">
      <formula>J77="assigned"</formula>
    </cfRule>
    <cfRule type="expression" dxfId="595" priority="15">
      <formula>J77="expired"</formula>
    </cfRule>
  </conditionalFormatting>
  <conditionalFormatting sqref="B77:B116">
    <cfRule type="expression" dxfId="594" priority="12">
      <formula>AND(ISNUMBER(SEARCH("call", B77)), J77="expired")</formula>
    </cfRule>
    <cfRule type="expression" dxfId="593" priority="13">
      <formula>AND(ISNUMBER(SEARCH("call", B77)), J77="assigned")</formula>
    </cfRule>
  </conditionalFormatting>
  <conditionalFormatting sqref="B41:B45 B48:B76">
    <cfRule type="expression" dxfId="592" priority="7" stopIfTrue="1">
      <formula>J41="ROLL"</formula>
    </cfRule>
    <cfRule type="expression" dxfId="591" priority="8" stopIfTrue="1">
      <formula>AND(ISNUMBER(SEARCH("call", B41)), J41="expired")</formula>
    </cfRule>
    <cfRule type="expression" dxfId="590" priority="9" stopIfTrue="1">
      <formula>AND(ISNUMBER(SEARCH("call", B41)), J41="assigned")</formula>
    </cfRule>
    <cfRule type="expression" dxfId="589" priority="10" stopIfTrue="1">
      <formula>J41="assigned"</formula>
    </cfRule>
    <cfRule type="expression" dxfId="588" priority="11">
      <formula>J41="expired"</formula>
    </cfRule>
  </conditionalFormatting>
  <conditionalFormatting sqref="B46:B47">
    <cfRule type="expression" dxfId="587" priority="1" stopIfTrue="1">
      <formula>J46="closed"</formula>
    </cfRule>
    <cfRule type="expression" dxfId="586" priority="2" stopIfTrue="1">
      <formula>J46="ROLL"</formula>
    </cfRule>
    <cfRule type="expression" dxfId="585" priority="3" stopIfTrue="1">
      <formula>AND(ISNUMBER(SEARCH("call", B46)), J46="expired")</formula>
    </cfRule>
    <cfRule type="expression" dxfId="584" priority="4" stopIfTrue="1">
      <formula>AND(ISNUMBER(SEARCH("call", B46)), J46="assigned")</formula>
    </cfRule>
    <cfRule type="expression" dxfId="583" priority="5" stopIfTrue="1">
      <formula>J46="assigned"</formula>
    </cfRule>
    <cfRule type="expression" dxfId="582" priority="6">
      <formula>J46="expired"</formula>
    </cfRule>
  </conditionalFormatting>
  <pageMargins left="0.7" right="0.7" top="0.75" bottom="0.75" header="0.3" footer="0.3"/>
  <pageSetup paperSize="0"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6DB8-833A-AD49-8ED0-88B86E49DDE4}">
  <sheetPr codeName="Sheet39"/>
  <dimension ref="B1:T81"/>
  <sheetViews>
    <sheetView zoomScale="120" zoomScaleNormal="120" workbookViewId="0">
      <selection activeCell="B11" sqref="B11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  <col min="16" max="17" width="12.1640625" customWidth="1"/>
  </cols>
  <sheetData>
    <row r="1" spans="2:14" ht="29" customHeight="1" x14ac:dyDescent="0.2">
      <c r="B1" s="197" t="s">
        <v>256</v>
      </c>
      <c r="C1" s="197"/>
    </row>
    <row r="2" spans="2:14" x14ac:dyDescent="0.2">
      <c r="B2" s="1" t="s">
        <v>256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IF(ISERROR(SUM(G38,G79)/G4),SUM(G38,G79),SUM(G38,G79)/G4)</f>
        <v>99.7</v>
      </c>
      <c r="I3" t="s">
        <v>279</v>
      </c>
      <c r="J3" s="30">
        <v>153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100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 t="s">
        <v>340</v>
      </c>
      <c r="C11" s="58" t="d">
        <v>2025-04-17</v>
      </c>
      <c r="D11" s="16"/>
      <c r="E11" s="157">
        <v>100</v>
      </c>
      <c r="F11" s="21">
        <v>110</v>
      </c>
      <c r="G11" s="44">
        <f>E11*F11</f>
        <v>11000</v>
      </c>
      <c r="H11" s="20"/>
      <c r="I11" s="36">
        <f>G11</f>
        <v>11000</v>
      </c>
      <c r="J11" s="31"/>
      <c r="K11" s="36">
        <f>I11/E11</f>
        <v>110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11000</v>
      </c>
      <c r="J12" s="31"/>
      <c r="K12" s="36">
        <f>I12/SUM($E$11:E12)</f>
        <v>110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11000</v>
      </c>
      <c r="J13" s="31"/>
      <c r="K13" s="36">
        <f>I13/SUM($E$11:E13)</f>
        <v>110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11000</v>
      </c>
      <c r="J14" s="31"/>
      <c r="K14" s="36">
        <f>I14/SUM($E$11:E14)</f>
        <v>110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11000</v>
      </c>
      <c r="J15" s="31"/>
      <c r="K15" s="36">
        <f>I15/SUM($E$11:E15)</f>
        <v>110</v>
      </c>
      <c r="N15">
        <v>1377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11000</v>
      </c>
      <c r="J16" s="31"/>
      <c r="K16" s="36">
        <f>I16/SUM($E$11:E16)</f>
        <v>110</v>
      </c>
      <c r="N16">
        <v>1707</v>
      </c>
    </row>
    <row r="17" spans="2:20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11000</v>
      </c>
      <c r="J17" s="31"/>
      <c r="K17" s="36">
        <f>I17/SUM($E$11:E17)</f>
        <v>110</v>
      </c>
    </row>
    <row r="18" spans="2:20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11000</v>
      </c>
      <c r="J18" s="31"/>
      <c r="K18" s="36">
        <f>I18/SUM($E$11:E18)</f>
        <v>110</v>
      </c>
    </row>
    <row r="19" spans="2:20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11000</v>
      </c>
      <c r="J19" s="31"/>
      <c r="K19" s="36">
        <f>I19/SUM($E$11:E19)</f>
        <v>110</v>
      </c>
    </row>
    <row r="20" spans="2:20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11000</v>
      </c>
      <c r="J20" s="31"/>
      <c r="K20" s="36">
        <f>I20/SUM($E$11:E20)</f>
        <v>110</v>
      </c>
      <c r="Q20">
        <v>1892</v>
      </c>
    </row>
    <row r="21" spans="2:20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11000</v>
      </c>
      <c r="J21" s="31"/>
      <c r="K21" s="36">
        <f>I21/SUM($E$11:E21)</f>
        <v>110</v>
      </c>
      <c r="Q21">
        <v>1707</v>
      </c>
    </row>
    <row r="22" spans="2:20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11000</v>
      </c>
      <c r="J22" s="31"/>
      <c r="K22" s="36">
        <f>I22/SUM($E$11:E22)</f>
        <v>110</v>
      </c>
    </row>
    <row r="23" spans="2:20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11000</v>
      </c>
      <c r="J23" s="31"/>
      <c r="K23" s="36">
        <f>I23/SUM($E$11:E23)</f>
        <v>110</v>
      </c>
    </row>
    <row r="24" spans="2:20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11000</v>
      </c>
      <c r="J24" s="31"/>
      <c r="K24" s="36">
        <f>I24/SUM($E$11:E24)</f>
        <v>110</v>
      </c>
      <c r="T24">
        <v>4330</v>
      </c>
    </row>
    <row r="25" spans="2:20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11000</v>
      </c>
      <c r="J25" s="31"/>
      <c r="K25" s="36">
        <f>I25/SUM($E$11:E25)</f>
        <v>110</v>
      </c>
    </row>
    <row r="26" spans="2:20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11000</v>
      </c>
      <c r="J26" s="31"/>
      <c r="K26" s="36">
        <f>I26/SUM($E$11:E26)</f>
        <v>110</v>
      </c>
      <c r="P26" t="s">
        <v>486</v>
      </c>
      <c r="Q26">
        <v>1794</v>
      </c>
    </row>
    <row r="27" spans="2:20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11000</v>
      </c>
      <c r="J27" s="31"/>
      <c r="K27" s="36">
        <f>I27/SUM($E$11:E27)</f>
        <v>110</v>
      </c>
      <c r="P27" t="s">
        <v>487</v>
      </c>
      <c r="Q27">
        <v>1912</v>
      </c>
    </row>
    <row r="28" spans="2:20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11000</v>
      </c>
      <c r="J28" s="31"/>
      <c r="K28" s="36">
        <f>I28/SUM($E$11:E28)</f>
        <v>110</v>
      </c>
      <c r="P28" t="s">
        <v>488</v>
      </c>
      <c r="Q28">
        <v>2169</v>
      </c>
    </row>
    <row r="29" spans="2:20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11000</v>
      </c>
      <c r="J29" s="31"/>
      <c r="K29" s="36">
        <f>I29/SUM($E$11:E29)</f>
        <v>110</v>
      </c>
    </row>
    <row r="30" spans="2:20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11000</v>
      </c>
      <c r="J30" s="31"/>
      <c r="K30" s="36">
        <f>I30/SUM($E$11:E30)</f>
        <v>110</v>
      </c>
    </row>
    <row r="31" spans="2:20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11000</v>
      </c>
      <c r="J31" s="31"/>
      <c r="K31" s="36">
        <f>I31/SUM($E$11:E31)</f>
        <v>110</v>
      </c>
    </row>
    <row r="32" spans="2:20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11000</v>
      </c>
      <c r="J32" s="31"/>
      <c r="K32" s="36">
        <f>I32/SUM($E$11:E32)</f>
        <v>110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11000</v>
      </c>
      <c r="J33" s="31"/>
      <c r="K33" s="36">
        <f>I33/SUM($E$11:E33)</f>
        <v>110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11000</v>
      </c>
      <c r="J34" s="31"/>
      <c r="K34" s="36">
        <f>I34/SUM($E$11:E34)</f>
        <v>110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11000</v>
      </c>
      <c r="J35" s="31"/>
      <c r="K35" s="36">
        <f>I35/SUM($E$11:E35)</f>
        <v>110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11000</v>
      </c>
      <c r="J36" s="31"/>
      <c r="K36" s="36">
        <f>I36/SUM($E$11:E36)</f>
        <v>110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11000</v>
      </c>
      <c r="J37" s="31"/>
      <c r="K37" s="36">
        <f>I37/SUM($E$11:E37)</f>
        <v>110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11000</v>
      </c>
      <c r="H38" s="20"/>
      <c r="I38" s="19"/>
      <c r="J38" s="31"/>
      <c r="K38" s="137">
        <f>SUM(G11:G37)/SUM(E11:E38)</f>
        <v>110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258</v>
      </c>
      <c r="C41" s="58" t="d">
        <v>2025-01-27</v>
      </c>
      <c r="D41" s="16"/>
      <c r="E41" s="155"/>
      <c r="F41" s="21"/>
      <c r="G41" s="36">
        <f>-71*2</f>
        <v>-142</v>
      </c>
      <c r="H41" s="20"/>
      <c r="I41" s="36">
        <f>I13+G41</f>
        <v>10858</v>
      </c>
      <c r="J41" s="31" t="s">
        <v>10</v>
      </c>
      <c r="K41" s="36">
        <f>I41/SUM($E$11:E41)</f>
        <v>108.58</v>
      </c>
    </row>
    <row r="42" spans="2:11" ht="21" customHeight="1" x14ac:dyDescent="0.2">
      <c r="B42" s="39" t="s">
        <v>338</v>
      </c>
      <c r="C42" s="58" t="d">
        <v>2025-03-24</v>
      </c>
      <c r="D42" s="16"/>
      <c r="E42" s="155"/>
      <c r="F42" s="21"/>
      <c r="G42" s="36">
        <v>-28</v>
      </c>
      <c r="H42" s="17"/>
      <c r="I42" s="36">
        <f t="shared" ref="I42:I78" si="2">I41+G42</f>
        <v>10830</v>
      </c>
      <c r="J42" s="43" t="s">
        <v>281</v>
      </c>
      <c r="K42" s="36">
        <f>I42/SUM($E$11:E42)</f>
        <v>108.3</v>
      </c>
    </row>
    <row r="43" spans="2:11" ht="32" x14ac:dyDescent="0.2">
      <c r="B43" s="39" t="s">
        <v>374</v>
      </c>
      <c r="C43" s="58" t="d">
        <v>2025-03-28</v>
      </c>
      <c r="D43" s="16"/>
      <c r="E43" s="155"/>
      <c r="G43" s="36">
        <v>-27</v>
      </c>
      <c r="H43" s="17"/>
      <c r="I43" s="36">
        <f t="shared" si="2"/>
        <v>10803</v>
      </c>
      <c r="J43" s="31" t="s">
        <v>122</v>
      </c>
      <c r="K43" s="36">
        <f>I43/SUM($E$11:E43)</f>
        <v>108.03</v>
      </c>
    </row>
    <row r="44" spans="2:11" ht="21" customHeight="1" x14ac:dyDescent="0.2">
      <c r="B44" s="39" t="s">
        <v>339</v>
      </c>
      <c r="C44" s="58" t="d">
        <v>2025-04-16</v>
      </c>
      <c r="D44" s="16"/>
      <c r="E44" s="155"/>
      <c r="F44" s="18"/>
      <c r="G44" s="36">
        <v>-42</v>
      </c>
      <c r="H44" s="17"/>
      <c r="I44" s="36">
        <f t="shared" si="2"/>
        <v>10761</v>
      </c>
      <c r="J44" s="31" t="s">
        <v>10</v>
      </c>
      <c r="K44" s="36">
        <f>I44/SUM($E$11:E44)</f>
        <v>107.61</v>
      </c>
    </row>
    <row r="45" spans="2:11" ht="17" customHeight="1" x14ac:dyDescent="0.2">
      <c r="B45" s="39" t="s">
        <v>368</v>
      </c>
      <c r="C45" s="58" t="d">
        <v>2025-04-21</v>
      </c>
      <c r="D45" s="16"/>
      <c r="E45" s="155"/>
      <c r="F45" s="18"/>
      <c r="G45" s="36">
        <v>-40</v>
      </c>
      <c r="H45" s="17"/>
      <c r="I45" s="36">
        <f t="shared" si="2"/>
        <v>10721</v>
      </c>
      <c r="J45" s="31" t="s">
        <v>10</v>
      </c>
      <c r="K45" s="36">
        <f>I45/SUM($E$11:E45)</f>
        <v>107.21</v>
      </c>
    </row>
    <row r="46" spans="2:11" ht="18" customHeight="1" x14ac:dyDescent="0.2">
      <c r="B46" s="39" t="s">
        <v>369</v>
      </c>
      <c r="C46" s="58" t="d">
        <v>2025-04-21</v>
      </c>
      <c r="D46" s="16"/>
      <c r="E46" s="155"/>
      <c r="F46" s="18"/>
      <c r="G46" s="36">
        <v>-26</v>
      </c>
      <c r="H46" s="17"/>
      <c r="I46" s="36">
        <f t="shared" si="2"/>
        <v>10695</v>
      </c>
      <c r="J46" s="31" t="s">
        <v>281</v>
      </c>
      <c r="K46" s="36">
        <f>I46/SUM($E$11:E46)</f>
        <v>106.95</v>
      </c>
    </row>
    <row r="47" spans="2:11" ht="32" x14ac:dyDescent="0.2">
      <c r="B47" s="39" t="s">
        <v>480</v>
      </c>
      <c r="C47" s="58" t="d">
        <v>2025-04-25</v>
      </c>
      <c r="D47" s="16"/>
      <c r="E47" s="155"/>
      <c r="F47" s="18"/>
      <c r="G47" s="36">
        <v>-150</v>
      </c>
      <c r="H47" s="17"/>
      <c r="I47" s="36">
        <f t="shared" si="2"/>
        <v>10545</v>
      </c>
      <c r="J47" s="31" t="s">
        <v>281</v>
      </c>
      <c r="K47" s="36">
        <f>I47/SUM($E$11:E47)</f>
        <v>105.45</v>
      </c>
    </row>
    <row r="48" spans="2:11" ht="20" customHeight="1" x14ac:dyDescent="0.2">
      <c r="B48" s="39" t="s">
        <v>414</v>
      </c>
      <c r="C48" s="58" t="d">
        <v>2025-04-30</v>
      </c>
      <c r="D48" s="16"/>
      <c r="E48" s="155"/>
      <c r="F48" s="18"/>
      <c r="G48" s="36">
        <v>-47</v>
      </c>
      <c r="H48" s="17"/>
      <c r="I48" s="36"/>
      <c r="J48" s="31" t="s">
        <v>10</v>
      </c>
      <c r="K48" s="36"/>
    </row>
    <row r="49" spans="2:11" ht="18" customHeight="1" x14ac:dyDescent="0.2">
      <c r="B49" s="39" t="s">
        <v>415</v>
      </c>
      <c r="C49" s="58" t="d">
        <v>2025-04-30</v>
      </c>
      <c r="D49" s="16"/>
      <c r="E49" s="155"/>
      <c r="F49" s="18"/>
      <c r="G49" s="36">
        <v>-40</v>
      </c>
      <c r="H49" s="17"/>
      <c r="I49" s="36"/>
      <c r="J49" s="31" t="s">
        <v>10</v>
      </c>
      <c r="K49" s="36"/>
    </row>
    <row r="50" spans="2:11" ht="32" x14ac:dyDescent="0.2">
      <c r="B50" s="39" t="s">
        <v>481</v>
      </c>
      <c r="C50" s="58" t="d">
        <v>2025-05-02</v>
      </c>
      <c r="D50" s="16"/>
      <c r="E50" s="155"/>
      <c r="F50" s="18"/>
      <c r="G50" s="36">
        <v>-12</v>
      </c>
      <c r="H50" s="17"/>
      <c r="I50" s="36">
        <f>I47+G50</f>
        <v>10533</v>
      </c>
      <c r="J50" s="31" t="s">
        <v>281</v>
      </c>
      <c r="K50" s="36">
        <f>I50/SUM($E$11:E50)</f>
        <v>105.33</v>
      </c>
    </row>
    <row r="51" spans="2:11" ht="32" x14ac:dyDescent="0.2">
      <c r="B51" s="39" t="s">
        <v>482</v>
      </c>
      <c r="C51" s="58" t="d">
        <v>2025-05-08</v>
      </c>
      <c r="D51" s="16"/>
      <c r="E51" s="155"/>
      <c r="F51" s="18"/>
      <c r="G51" s="36">
        <v>-57</v>
      </c>
      <c r="H51" s="20"/>
      <c r="I51" s="36">
        <f t="shared" si="2"/>
        <v>10476</v>
      </c>
      <c r="J51" s="31" t="s">
        <v>281</v>
      </c>
      <c r="K51" s="36">
        <f>I51/SUM($E$11:E51)</f>
        <v>104.76</v>
      </c>
    </row>
    <row r="52" spans="2:11" ht="32" x14ac:dyDescent="0.2">
      <c r="B52" s="39" t="s">
        <v>483</v>
      </c>
      <c r="C52" s="58" t="d">
        <v>2025-05-13</v>
      </c>
      <c r="D52" s="16"/>
      <c r="E52" s="155"/>
      <c r="F52" s="18"/>
      <c r="G52" s="36">
        <v>-3</v>
      </c>
      <c r="H52" s="20"/>
      <c r="I52" s="36">
        <f t="shared" si="2"/>
        <v>10473</v>
      </c>
      <c r="J52" s="31" t="s">
        <v>281</v>
      </c>
      <c r="K52" s="36">
        <f>I52/SUM($E$11:E52)</f>
        <v>104.73</v>
      </c>
    </row>
    <row r="53" spans="2:11" ht="32" x14ac:dyDescent="0.2">
      <c r="B53" s="39" t="s">
        <v>484</v>
      </c>
      <c r="C53" s="58" t="d">
        <v>2025-06-20</v>
      </c>
      <c r="D53" s="16"/>
      <c r="E53" s="155"/>
      <c r="F53" s="18"/>
      <c r="G53" s="36">
        <v>-13</v>
      </c>
      <c r="H53" s="20"/>
      <c r="I53" s="36">
        <f t="shared" si="2"/>
        <v>10460</v>
      </c>
      <c r="J53" s="31" t="s">
        <v>281</v>
      </c>
      <c r="K53" s="36">
        <f>I53/SUM($E$11:E53)</f>
        <v>104.6</v>
      </c>
    </row>
    <row r="54" spans="2:11" ht="32" x14ac:dyDescent="0.2">
      <c r="B54" s="39" t="s">
        <v>485</v>
      </c>
      <c r="C54" s="58" t="d">
        <v>2025-06-23</v>
      </c>
      <c r="D54" s="16"/>
      <c r="E54" s="155"/>
      <c r="F54" s="18"/>
      <c r="G54" s="36">
        <v>-80</v>
      </c>
      <c r="H54" s="20"/>
      <c r="I54" s="36">
        <f t="shared" si="2"/>
        <v>10380</v>
      </c>
      <c r="J54" s="31" t="s">
        <v>281</v>
      </c>
      <c r="K54" s="36">
        <f>I54/SUM($E$11:E54)</f>
        <v>103.8</v>
      </c>
    </row>
    <row r="55" spans="2:11" ht="17" customHeight="1" x14ac:dyDescent="0.2">
      <c r="B55" s="39" t="s">
        <v>543</v>
      </c>
      <c r="C55" s="58" t="d">
        <v>2025-07-31</v>
      </c>
      <c r="D55" s="16"/>
      <c r="E55" s="155"/>
      <c r="F55" s="18"/>
      <c r="G55" s="36">
        <v>-184</v>
      </c>
      <c r="H55" s="20"/>
      <c r="I55" s="36">
        <f t="shared" si="2"/>
        <v>10196</v>
      </c>
      <c r="J55" s="31" t="s">
        <v>281</v>
      </c>
      <c r="K55" s="36">
        <f>I55/SUM($E$11:E55)</f>
        <v>101.96</v>
      </c>
    </row>
    <row r="56" spans="2:11" ht="32" x14ac:dyDescent="0.2">
      <c r="B56" s="39" t="s">
        <v>544</v>
      </c>
      <c r="C56" s="58" t="d">
        <v>2025-08-01</v>
      </c>
      <c r="D56" s="16"/>
      <c r="E56" s="155"/>
      <c r="F56" s="18"/>
      <c r="G56" s="36">
        <v>-50</v>
      </c>
      <c r="H56" s="20"/>
      <c r="I56" s="36">
        <f t="shared" si="2"/>
        <v>10146</v>
      </c>
      <c r="J56" s="31" t="s">
        <v>281</v>
      </c>
      <c r="K56" s="36">
        <f>I56/SUM($E$11:E56)</f>
        <v>101.46</v>
      </c>
    </row>
    <row r="57" spans="2:11" ht="32" x14ac:dyDescent="0.2">
      <c r="B57" s="39" t="s">
        <v>545</v>
      </c>
      <c r="C57" s="58" t="d">
        <v>2025-08-20</v>
      </c>
      <c r="D57" s="16"/>
      <c r="E57" s="155"/>
      <c r="F57" s="18"/>
      <c r="G57" s="36">
        <v>-29</v>
      </c>
      <c r="H57" s="20"/>
      <c r="I57" s="36">
        <f t="shared" si="2"/>
        <v>10117</v>
      </c>
      <c r="J57" s="31" t="s">
        <v>10</v>
      </c>
      <c r="K57" s="36">
        <f>I57/SUM($E$11:E57)</f>
        <v>101.17</v>
      </c>
    </row>
    <row r="58" spans="2:11" ht="32" x14ac:dyDescent="0.2">
      <c r="B58" s="39" t="s">
        <v>570</v>
      </c>
      <c r="C58" s="58" t="d">
        <v>2025-09-19</v>
      </c>
      <c r="D58" s="16"/>
      <c r="E58" s="155"/>
      <c r="F58" s="18"/>
      <c r="G58" s="36">
        <v>-60</v>
      </c>
      <c r="H58" s="20"/>
      <c r="I58" s="36">
        <f t="shared" si="2"/>
        <v>10057</v>
      </c>
      <c r="J58" s="31"/>
      <c r="K58" s="36">
        <f>I58/SUM($E$11:E58)</f>
        <v>100.57</v>
      </c>
    </row>
    <row r="59" spans="2:11" ht="18" customHeight="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10057</v>
      </c>
      <c r="J59" s="31"/>
      <c r="K59" s="36">
        <f>I59/SUM($E$11:E59)</f>
        <v>100.57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10057</v>
      </c>
      <c r="J60" s="31"/>
      <c r="K60" s="36">
        <f>I60/SUM($E$11:E60)</f>
        <v>100.57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10057</v>
      </c>
      <c r="J61" s="31"/>
      <c r="K61" s="36">
        <f>I61/SUM($E$11:E61)</f>
        <v>100.57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10057</v>
      </c>
      <c r="J62" s="31"/>
      <c r="K62" s="36">
        <f>I62/SUM($E$11:E62)</f>
        <v>100.57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10057</v>
      </c>
      <c r="J63" s="31"/>
      <c r="K63" s="36">
        <f>I63/SUM($E$11:E63)</f>
        <v>100.57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10057</v>
      </c>
      <c r="J64" s="31"/>
      <c r="K64" s="36">
        <f>I64/SUM($E$11:E64)</f>
        <v>100.57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10057</v>
      </c>
      <c r="J65" s="31"/>
      <c r="K65" s="36">
        <f>I65/SUM($E$11:E65)</f>
        <v>100.57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10057</v>
      </c>
      <c r="J66" s="31"/>
      <c r="K66" s="36">
        <f>I66/SUM($E$11:E66)</f>
        <v>100.57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10057</v>
      </c>
      <c r="J67" s="31"/>
      <c r="K67" s="36">
        <f>I67/SUM($E$11:E67)</f>
        <v>100.57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10057</v>
      </c>
      <c r="J68" s="31"/>
      <c r="K68" s="36">
        <f>I68/SUM($E$11:E68)</f>
        <v>100.57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10057</v>
      </c>
      <c r="J69" s="31"/>
      <c r="K69" s="36">
        <f>I69/SUM($E$11:E69)</f>
        <v>100.57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10057</v>
      </c>
      <c r="J70" s="31"/>
      <c r="K70" s="36">
        <f>I70/SUM($E$11:E70)</f>
        <v>100.57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10057</v>
      </c>
      <c r="J71" s="31"/>
      <c r="K71" s="36">
        <f>I71/SUM($E$11:E71)</f>
        <v>100.57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10057</v>
      </c>
      <c r="J72" s="31"/>
      <c r="K72" s="36">
        <f>I72/SUM($E$11:E72)</f>
        <v>100.57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10057</v>
      </c>
      <c r="J73" s="31"/>
      <c r="K73" s="36">
        <f>I73/SUM($E$11:E73)</f>
        <v>100.57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10057</v>
      </c>
      <c r="J74" s="31"/>
      <c r="K74" s="36">
        <f>I74/SUM($E$11:E74)</f>
        <v>100.57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10057</v>
      </c>
      <c r="J75" s="31"/>
      <c r="K75" s="36">
        <f>I75/SUM($E$11:E75)</f>
        <v>100.57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10057</v>
      </c>
      <c r="J76" s="31"/>
      <c r="K76" s="36">
        <f>I76/SUM($E$11:E76)</f>
        <v>100.57</v>
      </c>
    </row>
    <row r="77" spans="2:11" x14ac:dyDescent="0.2">
      <c r="B77" s="39"/>
      <c r="C77" s="58"/>
      <c r="D77" s="16"/>
      <c r="E77" s="155"/>
      <c r="F77" s="18"/>
      <c r="G77" s="36">
        <v>0</v>
      </c>
      <c r="H77" s="20"/>
      <c r="I77" s="36">
        <f t="shared" si="2"/>
        <v>10057</v>
      </c>
      <c r="J77" s="31"/>
      <c r="K77" s="36">
        <f>I77/SUM($E$11:E77)</f>
        <v>100.57</v>
      </c>
    </row>
    <row r="78" spans="2:11" x14ac:dyDescent="0.2">
      <c r="B78" s="39"/>
      <c r="C78" s="58"/>
      <c r="D78" s="16"/>
      <c r="E78" s="155"/>
      <c r="F78" s="18"/>
      <c r="G78" s="36">
        <v>0</v>
      </c>
      <c r="H78" s="20"/>
      <c r="I78" s="36">
        <f t="shared" si="2"/>
        <v>10057</v>
      </c>
      <c r="J78" s="31"/>
      <c r="K78" s="36">
        <f>I78/SUM($E$11:E78)</f>
        <v>100.57</v>
      </c>
    </row>
    <row r="79" spans="2:11" ht="19" x14ac:dyDescent="0.25">
      <c r="B79" s="15"/>
      <c r="C79" s="58"/>
      <c r="D79" s="16"/>
      <c r="E79" s="155"/>
      <c r="F79" s="18"/>
      <c r="G79" s="137">
        <f>SUM(G41:G78)</f>
        <v>-1030</v>
      </c>
      <c r="H79" s="20"/>
      <c r="I79" s="19"/>
      <c r="J79" s="31"/>
      <c r="K79" s="137">
        <f>I79/3400</f>
        <v>0</v>
      </c>
    </row>
    <row r="80" spans="2:11" ht="4.75" customHeight="1" x14ac:dyDescent="0.2">
      <c r="B80" s="15"/>
      <c r="C80" s="58"/>
      <c r="D80" s="17"/>
      <c r="E80" s="155"/>
      <c r="F80" s="18"/>
      <c r="G80" s="19"/>
      <c r="H80" s="20"/>
      <c r="I80" s="20"/>
      <c r="J80" s="31"/>
      <c r="K80" s="17"/>
    </row>
    <row r="81" spans="2:11" ht="14" customHeight="1" x14ac:dyDescent="0.25">
      <c r="B81" s="15"/>
      <c r="C81" s="58"/>
      <c r="D81" s="17"/>
      <c r="E81" s="158"/>
      <c r="F81" s="24"/>
      <c r="H81" s="20"/>
      <c r="I81" s="20"/>
      <c r="J81" s="31"/>
      <c r="K81" s="17"/>
    </row>
  </sheetData>
  <mergeCells count="2">
    <mergeCell ref="B1:C1"/>
    <mergeCell ref="B8:G8"/>
  </mergeCells>
  <conditionalFormatting sqref="B79:B118">
    <cfRule type="expression" dxfId="581" priority="48" stopIfTrue="1">
      <formula>J79="assigned"</formula>
    </cfRule>
    <cfRule type="expression" dxfId="580" priority="49">
      <formula>J79="expired"</formula>
    </cfRule>
  </conditionalFormatting>
  <conditionalFormatting sqref="B79:B118">
    <cfRule type="expression" dxfId="579" priority="46">
      <formula>AND(ISNUMBER(SEARCH("call", B79)), J79="expired")</formula>
    </cfRule>
    <cfRule type="expression" dxfId="578" priority="47">
      <formula>AND(ISNUMBER(SEARCH("call", B79)), J79="assigned")</formula>
    </cfRule>
  </conditionalFormatting>
  <conditionalFormatting sqref="B41:B42 B44:B46 B59:B78">
    <cfRule type="expression" dxfId="577" priority="36" stopIfTrue="1">
      <formula>J41="ROLL"</formula>
    </cfRule>
    <cfRule type="expression" dxfId="576" priority="37" stopIfTrue="1">
      <formula>AND(ISNUMBER(SEARCH("call", B41)), J41="expired")</formula>
    </cfRule>
    <cfRule type="expression" dxfId="575" priority="38" stopIfTrue="1">
      <formula>AND(ISNUMBER(SEARCH("call", B41)), J41="assigned")</formula>
    </cfRule>
    <cfRule type="expression" dxfId="574" priority="39" stopIfTrue="1">
      <formula>J41="assigned"</formula>
    </cfRule>
    <cfRule type="expression" dxfId="573" priority="40">
      <formula>J41="expired"</formula>
    </cfRule>
  </conditionalFormatting>
  <conditionalFormatting sqref="B43">
    <cfRule type="expression" dxfId="572" priority="31" stopIfTrue="1">
      <formula>J43="ROLL"</formula>
    </cfRule>
    <cfRule type="expression" dxfId="571" priority="32" stopIfTrue="1">
      <formula>AND(ISNUMBER(SEARCH("call", B43)), J43="expired")</formula>
    </cfRule>
    <cfRule type="expression" dxfId="570" priority="33" stopIfTrue="1">
      <formula>AND(ISNUMBER(SEARCH("call", B43)), J43="assigned")</formula>
    </cfRule>
    <cfRule type="expression" dxfId="569" priority="34" stopIfTrue="1">
      <formula>J43="assigned"</formula>
    </cfRule>
    <cfRule type="expression" dxfId="568" priority="35">
      <formula>J43="expired"</formula>
    </cfRule>
  </conditionalFormatting>
  <conditionalFormatting sqref="B47 B50:B54">
    <cfRule type="expression" dxfId="567" priority="26" stopIfTrue="1">
      <formula>J47="ROLL"</formula>
    </cfRule>
    <cfRule type="expression" dxfId="566" priority="27" stopIfTrue="1">
      <formula>AND(ISNUMBER(SEARCH("call", B47)), J47="expired")</formula>
    </cfRule>
    <cfRule type="expression" dxfId="565" priority="28" stopIfTrue="1">
      <formula>AND(ISNUMBER(SEARCH("call", B47)), J47="assigned")</formula>
    </cfRule>
    <cfRule type="expression" dxfId="564" priority="29" stopIfTrue="1">
      <formula>J47="assigned"</formula>
    </cfRule>
    <cfRule type="expression" dxfId="563" priority="30">
      <formula>J47="expired"</formula>
    </cfRule>
  </conditionalFormatting>
  <conditionalFormatting sqref="B48:B49">
    <cfRule type="expression" dxfId="562" priority="21" stopIfTrue="1">
      <formula>J48="ROLL"</formula>
    </cfRule>
    <cfRule type="expression" dxfId="561" priority="22" stopIfTrue="1">
      <formula>AND(ISNUMBER(SEARCH("call", B48)), J48="expired")</formula>
    </cfRule>
    <cfRule type="expression" dxfId="560" priority="23" stopIfTrue="1">
      <formula>AND(ISNUMBER(SEARCH("call", B48)), J48="assigned")</formula>
    </cfRule>
    <cfRule type="expression" dxfId="559" priority="24" stopIfTrue="1">
      <formula>J48="assigned"</formula>
    </cfRule>
    <cfRule type="expression" dxfId="558" priority="25">
      <formula>J48="expired"</formula>
    </cfRule>
  </conditionalFormatting>
  <conditionalFormatting sqref="B55">
    <cfRule type="expression" dxfId="557" priority="11" stopIfTrue="1">
      <formula>J55="ROLL"</formula>
    </cfRule>
    <cfRule type="expression" dxfId="556" priority="12" stopIfTrue="1">
      <formula>AND(ISNUMBER(SEARCH("call", B55)), J55="expired")</formula>
    </cfRule>
    <cfRule type="expression" dxfId="555" priority="13" stopIfTrue="1">
      <formula>AND(ISNUMBER(SEARCH("call", B55)), J55="assigned")</formula>
    </cfRule>
    <cfRule type="expression" dxfId="554" priority="14" stopIfTrue="1">
      <formula>J55="assigned"</formula>
    </cfRule>
    <cfRule type="expression" dxfId="553" priority="15">
      <formula>J55="expired"</formula>
    </cfRule>
  </conditionalFormatting>
  <conditionalFormatting sqref="B56:B57">
    <cfRule type="expression" dxfId="552" priority="6" stopIfTrue="1">
      <formula>J56="ROLL"</formula>
    </cfRule>
    <cfRule type="expression" dxfId="551" priority="7" stopIfTrue="1">
      <formula>AND(ISNUMBER(SEARCH("call", B56)), J56="expired")</formula>
    </cfRule>
    <cfRule type="expression" dxfId="550" priority="8" stopIfTrue="1">
      <formula>AND(ISNUMBER(SEARCH("call", B56)), J56="assigned")</formula>
    </cfRule>
    <cfRule type="expression" dxfId="549" priority="9" stopIfTrue="1">
      <formula>J56="assigned"</formula>
    </cfRule>
    <cfRule type="expression" dxfId="548" priority="10">
      <formula>J56="expired"</formula>
    </cfRule>
  </conditionalFormatting>
  <conditionalFormatting sqref="B58">
    <cfRule type="expression" dxfId="547" priority="1" stopIfTrue="1">
      <formula>J58="ROLL"</formula>
    </cfRule>
    <cfRule type="expression" dxfId="546" priority="2" stopIfTrue="1">
      <formula>AND(ISNUMBER(SEARCH("call", B58)), J58="expired")</formula>
    </cfRule>
    <cfRule type="expression" dxfId="545" priority="3" stopIfTrue="1">
      <formula>AND(ISNUMBER(SEARCH("call", B58)), J58="assigned")</formula>
    </cfRule>
    <cfRule type="expression" dxfId="544" priority="4" stopIfTrue="1">
      <formula>J58="assigned"</formula>
    </cfRule>
    <cfRule type="expression" dxfId="543" priority="5">
      <formula>J58="expired"</formula>
    </cfRule>
  </conditionalFormatting>
  <pageMargins left="0.7" right="0.7" top="0.75" bottom="0.75" header="0.3" footer="0.3"/>
  <pageSetup paperSize="0" orientation="portrait"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A484-AACF-AE40-AB92-80FF53E5EB82}">
  <sheetPr codeName="Sheet60"/>
  <dimension ref="B1:N79"/>
  <sheetViews>
    <sheetView topLeftCell="A13" zoomScale="120" zoomScaleNormal="120" workbookViewId="0">
      <selection activeCell="E12" sqref="E12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530</v>
      </c>
      <c r="C1" s="197"/>
    </row>
    <row r="2" spans="2:14" x14ac:dyDescent="0.2">
      <c r="B2" s="1" t="s">
        <v>280</v>
      </c>
      <c r="C2" s="56"/>
      <c r="D2" s="2"/>
      <c r="F2" s="3"/>
      <c r="G2" s="4"/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638.35</v>
      </c>
      <c r="I3" t="s">
        <v>279</v>
      </c>
      <c r="J3" s="30">
        <v>28.99</v>
      </c>
      <c r="K3" s="6"/>
    </row>
    <row r="4" spans="2:14" x14ac:dyDescent="0.2">
      <c r="B4" s="1"/>
      <c r="C4" s="56"/>
      <c r="D4" s="2"/>
      <c r="F4" s="3" t="s">
        <v>2</v>
      </c>
      <c r="G4" s="9">
        <f>SUM(E11:E37)</f>
        <v>100</v>
      </c>
    </row>
    <row r="5" spans="2:14" x14ac:dyDescent="0.2">
      <c r="C5" s="56"/>
      <c r="D5" s="2"/>
      <c r="F5" s="3"/>
      <c r="G5" s="4"/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>
        <v>100</v>
      </c>
      <c r="F11" s="21">
        <v>650</v>
      </c>
      <c r="G11" s="44">
        <f>E11*F11</f>
        <v>65000</v>
      </c>
      <c r="H11" s="20"/>
      <c r="I11" s="36">
        <f>G11</f>
        <v>65000</v>
      </c>
      <c r="J11" s="31"/>
      <c r="K11" s="36">
        <f>I11/E11</f>
        <v>650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65000</v>
      </c>
      <c r="J12" s="31"/>
      <c r="K12" s="36">
        <f>I12/SUM($E$11:E12)</f>
        <v>650</v>
      </c>
      <c r="N12" s="144" t="s">
        <v>268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65000</v>
      </c>
      <c r="J13" s="31"/>
      <c r="K13" s="36">
        <f>I13/SUM($E$11:E13)</f>
        <v>650</v>
      </c>
      <c r="N13" s="143" t="s">
        <v>269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65000</v>
      </c>
      <c r="J14" s="31"/>
      <c r="K14" s="36">
        <f>I14/SUM($E$11:E14)</f>
        <v>650</v>
      </c>
      <c r="N14" s="145" t="s">
        <v>270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65000</v>
      </c>
      <c r="J15" s="31"/>
      <c r="K15" s="36">
        <f>I15/SUM($E$11:E15)</f>
        <v>650</v>
      </c>
      <c r="N15" s="146" t="s">
        <v>271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65000</v>
      </c>
      <c r="J16" s="31"/>
      <c r="K16" s="36">
        <f>I16/SUM($E$11:E16)</f>
        <v>650</v>
      </c>
      <c r="N16" s="147" t="s">
        <v>266</v>
      </c>
    </row>
    <row r="17" spans="2:14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65000</v>
      </c>
      <c r="J17" s="31"/>
      <c r="K17" s="36">
        <f>I17/SUM($E$11:E17)</f>
        <v>650</v>
      </c>
      <c r="N17" s="164" t="s">
        <v>493</v>
      </c>
    </row>
    <row r="18" spans="2:14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65000</v>
      </c>
      <c r="J18" s="31"/>
      <c r="K18" s="36">
        <f>I18/SUM($E$11:E18)</f>
        <v>650</v>
      </c>
    </row>
    <row r="19" spans="2:14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65000</v>
      </c>
      <c r="J19" s="31"/>
      <c r="K19" s="36">
        <f>I19/SUM($E$11:E19)</f>
        <v>650</v>
      </c>
    </row>
    <row r="20" spans="2:14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65000</v>
      </c>
      <c r="J20" s="31"/>
      <c r="K20" s="36">
        <f>I20/SUM($E$11:E20)</f>
        <v>650</v>
      </c>
    </row>
    <row r="21" spans="2:14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65000</v>
      </c>
      <c r="J21" s="31"/>
      <c r="K21" s="36">
        <f>I21/SUM($E$11:E21)</f>
        <v>650</v>
      </c>
    </row>
    <row r="22" spans="2:14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65000</v>
      </c>
      <c r="J22" s="31"/>
      <c r="K22" s="36">
        <f>I22/SUM($E$11:E22)</f>
        <v>650</v>
      </c>
    </row>
    <row r="23" spans="2:14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65000</v>
      </c>
      <c r="J23" s="31"/>
      <c r="K23" s="36">
        <f>I23/SUM($E$11:E23)</f>
        <v>650</v>
      </c>
    </row>
    <row r="24" spans="2:14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65000</v>
      </c>
      <c r="J24" s="31"/>
      <c r="K24" s="36">
        <f>I24/SUM($E$11:E24)</f>
        <v>650</v>
      </c>
    </row>
    <row r="25" spans="2:14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65000</v>
      </c>
      <c r="J25" s="31"/>
      <c r="K25" s="36">
        <f>I25/SUM($E$11:E25)</f>
        <v>650</v>
      </c>
    </row>
    <row r="26" spans="2:14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65000</v>
      </c>
      <c r="J26" s="31"/>
      <c r="K26" s="36">
        <f>I26/SUM($E$11:E26)</f>
        <v>650</v>
      </c>
    </row>
    <row r="27" spans="2:14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65000</v>
      </c>
      <c r="J27" s="31"/>
      <c r="K27" s="36">
        <f>I27/SUM($E$11:E27)</f>
        <v>650</v>
      </c>
    </row>
    <row r="28" spans="2:14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65000</v>
      </c>
      <c r="J28" s="31"/>
      <c r="K28" s="36">
        <f>I28/SUM($E$11:E28)</f>
        <v>650</v>
      </c>
    </row>
    <row r="29" spans="2:14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65000</v>
      </c>
      <c r="J29" s="31"/>
      <c r="K29" s="36">
        <f>I29/SUM($E$11:E29)</f>
        <v>650</v>
      </c>
    </row>
    <row r="30" spans="2:14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65000</v>
      </c>
      <c r="J30" s="31"/>
      <c r="K30" s="36">
        <f>I30/SUM($E$11:E30)</f>
        <v>650</v>
      </c>
    </row>
    <row r="31" spans="2:14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65000</v>
      </c>
      <c r="J31" s="31"/>
      <c r="K31" s="36">
        <f>I31/SUM($E$11:E31)</f>
        <v>650</v>
      </c>
    </row>
    <row r="32" spans="2:14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65000</v>
      </c>
      <c r="J32" s="31"/>
      <c r="K32" s="36">
        <f>I32/SUM($E$11:E32)</f>
        <v>650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65000</v>
      </c>
      <c r="J33" s="31"/>
      <c r="K33" s="36">
        <f>I33/SUM($E$11:E33)</f>
        <v>650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65000</v>
      </c>
      <c r="J34" s="31"/>
      <c r="K34" s="36">
        <f>I34/SUM($E$11:E34)</f>
        <v>650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65000</v>
      </c>
      <c r="J35" s="31"/>
      <c r="K35" s="36">
        <f>I35/SUM($E$11:E35)</f>
        <v>650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65000</v>
      </c>
      <c r="J36" s="31"/>
      <c r="K36" s="36">
        <f>I36/SUM($E$11:E36)</f>
        <v>650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65000</v>
      </c>
      <c r="J37" s="31"/>
      <c r="K37" s="36">
        <f>I37/SUM($E$11:E37)</f>
        <v>650</v>
      </c>
    </row>
    <row r="38" spans="2:11" ht="19" x14ac:dyDescent="0.25">
      <c r="B38" s="15"/>
      <c r="C38" s="58"/>
      <c r="D38" s="16"/>
      <c r="E38" s="155"/>
      <c r="F38" s="18"/>
      <c r="G38" s="165">
        <f>SUM(G11:G37)</f>
        <v>65000</v>
      </c>
      <c r="H38" s="20"/>
      <c r="I38" s="19"/>
      <c r="J38" s="31"/>
      <c r="K38" s="165">
        <f>SUM(G11:G37)/SUM(E11:E38)</f>
        <v>650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32" x14ac:dyDescent="0.2">
      <c r="B41" s="39" t="s">
        <v>531</v>
      </c>
      <c r="C41" s="58" t="d">
        <v>2025-05-27</v>
      </c>
      <c r="D41" s="16"/>
      <c r="E41" s="155"/>
      <c r="F41" s="21"/>
      <c r="G41" s="36">
        <f>-35*20</f>
        <v>-700</v>
      </c>
      <c r="H41" s="20"/>
      <c r="I41" s="36">
        <f>I13+G41</f>
        <v>64300</v>
      </c>
      <c r="J41" s="31" t="s">
        <v>10</v>
      </c>
      <c r="K41" s="36">
        <f>I41/SUM($E$11:E41)</f>
        <v>643</v>
      </c>
    </row>
    <row r="42" spans="2:11" ht="32" x14ac:dyDescent="0.2">
      <c r="B42" s="39" t="s">
        <v>532</v>
      </c>
      <c r="C42" s="58" t="d">
        <v>2025-07-21</v>
      </c>
      <c r="D42" s="16"/>
      <c r="E42" s="155"/>
      <c r="F42" s="21"/>
      <c r="G42" s="36">
        <v>-430</v>
      </c>
      <c r="H42" s="17"/>
      <c r="I42" s="36">
        <f t="shared" ref="I42:I76" si="2">I41+G42</f>
        <v>63870</v>
      </c>
      <c r="J42" s="31" t="s">
        <v>281</v>
      </c>
      <c r="K42" s="36">
        <f>I42/SUM($E$11:E42)</f>
        <v>638.70000000000005</v>
      </c>
    </row>
    <row r="43" spans="2:11" ht="32" x14ac:dyDescent="0.2">
      <c r="B43" s="39" t="s">
        <v>533</v>
      </c>
      <c r="C43" s="58" t="d">
        <v>2025-08-01</v>
      </c>
      <c r="D43" s="16"/>
      <c r="E43" s="155"/>
      <c r="G43" s="36">
        <v>-35</v>
      </c>
      <c r="H43" s="17"/>
      <c r="I43" s="36">
        <f t="shared" si="2"/>
        <v>63835</v>
      </c>
      <c r="J43" s="31" t="s">
        <v>10</v>
      </c>
      <c r="K43" s="36">
        <f>I43/SUM($E$11:E43)</f>
        <v>638.35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63835</v>
      </c>
      <c r="J44" s="31"/>
      <c r="K44" s="36">
        <f>I44/SUM($E$11:E44)</f>
        <v>638.35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63835</v>
      </c>
      <c r="J45" s="31"/>
      <c r="K45" s="36">
        <f>I45/SUM($E$11:E45)</f>
        <v>638.35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63835</v>
      </c>
      <c r="J46" s="31"/>
      <c r="K46" s="36">
        <f>I46/SUM($E$11:E46)</f>
        <v>638.35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63835</v>
      </c>
      <c r="J47" s="31"/>
      <c r="K47" s="36">
        <f>I47/SUM($E$11:E47)</f>
        <v>638.35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63835</v>
      </c>
      <c r="J48" s="31"/>
      <c r="K48" s="36">
        <f>I48/SUM($E$11:E48)</f>
        <v>638.35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63835</v>
      </c>
      <c r="J49" s="31"/>
      <c r="K49" s="36">
        <f>I49/SUM($E$11:E49)</f>
        <v>638.35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63835</v>
      </c>
      <c r="J50" s="31"/>
      <c r="K50" s="36">
        <f>I50/SUM($E$11:E50)</f>
        <v>638.35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63835</v>
      </c>
      <c r="J51" s="31"/>
      <c r="K51" s="36">
        <f>I51/SUM($E$11:E51)</f>
        <v>638.35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63835</v>
      </c>
      <c r="J52" s="31"/>
      <c r="K52" s="36">
        <f>I52/SUM($E$11:E52)</f>
        <v>638.35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63835</v>
      </c>
      <c r="J53" s="31"/>
      <c r="K53" s="36">
        <f>I53/SUM($E$11:E53)</f>
        <v>638.35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63835</v>
      </c>
      <c r="J54" s="31"/>
      <c r="K54" s="36">
        <f>I54/SUM($E$11:E54)</f>
        <v>638.35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63835</v>
      </c>
      <c r="J55" s="31"/>
      <c r="K55" s="36">
        <f>I55/SUM($E$11:E55)</f>
        <v>638.35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63835</v>
      </c>
      <c r="J56" s="31"/>
      <c r="K56" s="36">
        <f>I56/SUM($E$11:E56)</f>
        <v>638.35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63835</v>
      </c>
      <c r="J57" s="31"/>
      <c r="K57" s="36">
        <f>I57/SUM($E$11:E57)</f>
        <v>638.35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63835</v>
      </c>
      <c r="J58" s="31"/>
      <c r="K58" s="36">
        <f>I58/SUM($E$11:E58)</f>
        <v>638.35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63835</v>
      </c>
      <c r="J59" s="31"/>
      <c r="K59" s="36">
        <f>I59/SUM($E$11:E59)</f>
        <v>638.35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63835</v>
      </c>
      <c r="J60" s="31"/>
      <c r="K60" s="36">
        <f>I60/SUM($E$11:E60)</f>
        <v>638.35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63835</v>
      </c>
      <c r="J61" s="31"/>
      <c r="K61" s="36">
        <f>I61/SUM($E$11:E61)</f>
        <v>638.35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63835</v>
      </c>
      <c r="J62" s="31"/>
      <c r="K62" s="36">
        <f>I62/SUM($E$11:E62)</f>
        <v>638.35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63835</v>
      </c>
      <c r="J63" s="31"/>
      <c r="K63" s="36">
        <f>I63/SUM($E$11:E63)</f>
        <v>638.35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63835</v>
      </c>
      <c r="J64" s="31"/>
      <c r="K64" s="36">
        <f>I64/SUM($E$11:E64)</f>
        <v>638.35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63835</v>
      </c>
      <c r="J65" s="31"/>
      <c r="K65" s="36">
        <f>I65/SUM($E$11:E65)</f>
        <v>638.35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63835</v>
      </c>
      <c r="J66" s="31"/>
      <c r="K66" s="36">
        <f>I66/SUM($E$11:E66)</f>
        <v>638.35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63835</v>
      </c>
      <c r="J67" s="31"/>
      <c r="K67" s="36">
        <f>I67/SUM($E$11:E67)</f>
        <v>638.35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63835</v>
      </c>
      <c r="J68" s="31"/>
      <c r="K68" s="36">
        <f>I68/SUM($E$11:E68)</f>
        <v>638.35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63835</v>
      </c>
      <c r="J69" s="31"/>
      <c r="K69" s="36">
        <f>I69/SUM($E$11:E69)</f>
        <v>638.35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63835</v>
      </c>
      <c r="J70" s="31"/>
      <c r="K70" s="36">
        <f>I70/SUM($E$11:E70)</f>
        <v>638.35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63835</v>
      </c>
      <c r="J71" s="31"/>
      <c r="K71" s="36">
        <f>I71/SUM($E$11:E71)</f>
        <v>638.35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63835</v>
      </c>
      <c r="J72" s="31"/>
      <c r="K72" s="36">
        <f>I72/SUM($E$11:E72)</f>
        <v>638.35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63835</v>
      </c>
      <c r="J73" s="31"/>
      <c r="K73" s="36">
        <f>I73/SUM($E$11:E73)</f>
        <v>638.35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63835</v>
      </c>
      <c r="J74" s="31"/>
      <c r="K74" s="36">
        <f>I74/SUM($E$11:E74)</f>
        <v>638.35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63835</v>
      </c>
      <c r="J75" s="31"/>
      <c r="K75" s="36">
        <f>I75/SUM($E$11:E75)</f>
        <v>638.35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63835</v>
      </c>
      <c r="J76" s="31"/>
      <c r="K76" s="36">
        <f>I76/SUM($E$11:E76)</f>
        <v>638.35</v>
      </c>
    </row>
    <row r="77" spans="2:11" ht="19" x14ac:dyDescent="0.25">
      <c r="B77" s="15"/>
      <c r="C77" s="58"/>
      <c r="D77" s="16"/>
      <c r="E77" s="155"/>
      <c r="F77" s="18"/>
      <c r="G77" s="165">
        <f>SUM(G41:G76)</f>
        <v>-1165</v>
      </c>
      <c r="H77" s="20"/>
      <c r="I77" s="19"/>
      <c r="J77" s="31"/>
      <c r="K77" s="165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542" priority="22" stopIfTrue="1">
      <formula>J77="assigned"</formula>
    </cfRule>
    <cfRule type="expression" dxfId="541" priority="23">
      <formula>J77="expired"</formula>
    </cfRule>
  </conditionalFormatting>
  <conditionalFormatting sqref="B77:B116">
    <cfRule type="expression" dxfId="540" priority="20">
      <formula>AND(ISNUMBER(SEARCH("call", B77)), J77="expired")</formula>
    </cfRule>
    <cfRule type="expression" dxfId="539" priority="21">
      <formula>AND(ISNUMBER(SEARCH("call", B77)), J77="assigned")</formula>
    </cfRule>
  </conditionalFormatting>
  <conditionalFormatting sqref="B44:B76">
    <cfRule type="expression" dxfId="538" priority="14" stopIfTrue="1">
      <formula>J44="closed"</formula>
    </cfRule>
    <cfRule type="expression" dxfId="537" priority="15" stopIfTrue="1">
      <formula>J44="ROLL"</formula>
    </cfRule>
    <cfRule type="expression" dxfId="536" priority="16" stopIfTrue="1">
      <formula>AND(ISNUMBER(SEARCH("call", B44)), J44="expired")</formula>
    </cfRule>
    <cfRule type="expression" dxfId="535" priority="17" stopIfTrue="1">
      <formula>AND(ISNUMBER(SEARCH("call", B44)), J44="assigned")</formula>
    </cfRule>
    <cfRule type="expression" dxfId="534" priority="18" stopIfTrue="1">
      <formula>J44="assigned"</formula>
    </cfRule>
    <cfRule type="expression" dxfId="533" priority="19">
      <formula>J44="expired"</formula>
    </cfRule>
  </conditionalFormatting>
  <conditionalFormatting sqref="B41">
    <cfRule type="expression" dxfId="532" priority="10">
      <formula>AND(ISNUMBER(SEARCH("call", B41)), J41="expired")</formula>
    </cfRule>
    <cfRule type="expression" dxfId="531" priority="11">
      <formula>AND(ISNUMBER(SEARCH("call", B41)), J41="assigned")</formula>
    </cfRule>
    <cfRule type="expression" dxfId="530" priority="12">
      <formula>J41="assigned"</formula>
    </cfRule>
    <cfRule type="expression" dxfId="529" priority="13">
      <formula>J41="expired"</formula>
    </cfRule>
  </conditionalFormatting>
  <conditionalFormatting sqref="B43">
    <cfRule type="expression" dxfId="528" priority="6">
      <formula>AND(ISNUMBER(SEARCH("call", B43)), J43="expired")</formula>
    </cfRule>
    <cfRule type="expression" dxfId="527" priority="7">
      <formula>AND(ISNUMBER(SEARCH("call", B43)), J43="assigned")</formula>
    </cfRule>
    <cfRule type="expression" dxfId="526" priority="8">
      <formula>J43="assigned"</formula>
    </cfRule>
    <cfRule type="expression" dxfId="525" priority="9">
      <formula>J43="expired"</formula>
    </cfRule>
  </conditionalFormatting>
  <conditionalFormatting sqref="B42">
    <cfRule type="expression" dxfId="524" priority="1" stopIfTrue="1">
      <formula>J42="ROLL"</formula>
    </cfRule>
    <cfRule type="expression" dxfId="523" priority="2" stopIfTrue="1">
      <formula>AND(ISNUMBER(SEARCH("call", B42)), J42="expired")</formula>
    </cfRule>
    <cfRule type="expression" dxfId="522" priority="3" stopIfTrue="1">
      <formula>AND(ISNUMBER(SEARCH("call", B42)), J42="assigned")</formula>
    </cfRule>
    <cfRule type="expression" dxfId="521" priority="4" stopIfTrue="1">
      <formula>J42="assigned"</formula>
    </cfRule>
    <cfRule type="expression" dxfId="520" priority="5">
      <formula>J42="expired"</formula>
    </cfRule>
  </conditionalFormatting>
  <pageMargins left="0.7" right="0.7" top="0.75" bottom="0.75" header="0.3" footer="0.3"/>
  <pageSetup paperSize="0" orientation="portrait"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F928-653E-DE48-BB9F-E0C01C14BD8C}">
  <sheetPr codeName="Sheet30"/>
  <dimension ref="B1:L68"/>
  <sheetViews>
    <sheetView zoomScale="130" zoomScaleNormal="130" workbookViewId="0">
      <pane xSplit="1" ySplit="10" topLeftCell="B11" activePane="bottomRight" state="frozen"/>
      <selection activeCell="A55" sqref="A55"/>
      <selection pane="topRight" activeCell="A55" sqref="A55"/>
      <selection pane="bottomLeft" activeCell="A55" sqref="A55"/>
      <selection pane="bottomRight" activeCell="J29" sqref="J29"/>
    </sheetView>
  </sheetViews>
  <sheetFormatPr baseColWidth="10" defaultColWidth="8.83203125" defaultRowHeight="15" x14ac:dyDescent="0.2"/>
  <cols>
    <col min="1" max="1" width="6" style="70" customWidth="1"/>
    <col min="2" max="2" width="34.83203125" style="71" customWidth="1"/>
    <col min="3" max="3" width="16.33203125" style="109" customWidth="1"/>
    <col min="4" max="4" width="8.33203125" style="70" customWidth="1"/>
    <col min="5" max="5" width="10.83203125" style="70" customWidth="1"/>
    <col min="6" max="6" width="9.6640625" style="70" bestFit="1" customWidth="1"/>
    <col min="7" max="7" width="13.83203125" style="70" customWidth="1"/>
    <col min="8" max="8" width="3.5" style="70" customWidth="1"/>
    <col min="9" max="9" width="12.1640625" style="70" customWidth="1"/>
    <col min="10" max="10" width="29" style="71" customWidth="1"/>
    <col min="11" max="11" width="8.83203125" style="72"/>
    <col min="12" max="12" width="26.6640625" style="70" customWidth="1"/>
    <col min="13" max="16384" width="8.83203125" style="70"/>
  </cols>
  <sheetData>
    <row r="1" spans="2:11" ht="17" x14ac:dyDescent="0.2">
      <c r="B1" s="108" t="s">
        <v>255</v>
      </c>
    </row>
    <row r="2" spans="2:11" x14ac:dyDescent="0.2">
      <c r="B2" s="67"/>
      <c r="C2" s="110"/>
      <c r="D2" s="72"/>
      <c r="E2" s="72"/>
      <c r="F2" s="74"/>
      <c r="G2" s="75"/>
    </row>
    <row r="3" spans="2:11" ht="19" x14ac:dyDescent="0.2">
      <c r="B3" s="111"/>
      <c r="C3" s="112"/>
      <c r="D3" s="77"/>
      <c r="E3" s="77"/>
      <c r="F3" s="78" t="s">
        <v>0</v>
      </c>
      <c r="G3" s="79">
        <f>IF(ISERROR(SUM(G24,G64)/G4),SUM(G24,G64),SUM(G24,G64)/G4)</f>
        <v>-143</v>
      </c>
      <c r="H3" s="70" t="s">
        <v>1</v>
      </c>
      <c r="J3" s="80">
        <v>16</v>
      </c>
      <c r="K3" s="77"/>
    </row>
    <row r="4" spans="2:11" x14ac:dyDescent="0.2">
      <c r="B4" s="113"/>
      <c r="C4" s="110"/>
      <c r="D4" s="72"/>
      <c r="E4" s="72"/>
      <c r="F4" s="74" t="s">
        <v>2</v>
      </c>
      <c r="G4" s="81">
        <f>SUM(E11:E131)</f>
        <v>0</v>
      </c>
    </row>
    <row r="5" spans="2:11" x14ac:dyDescent="0.2">
      <c r="C5" s="110"/>
      <c r="D5" s="72"/>
      <c r="E5" s="72"/>
      <c r="F5" s="74"/>
      <c r="G5" s="75"/>
    </row>
    <row r="6" spans="2:11" x14ac:dyDescent="0.2">
      <c r="C6" s="106"/>
      <c r="D6" s="83"/>
      <c r="E6" s="83"/>
      <c r="F6" s="84"/>
      <c r="G6" s="85"/>
      <c r="H6" s="69"/>
      <c r="I6" s="69"/>
      <c r="J6" s="86"/>
      <c r="K6" s="83"/>
    </row>
    <row r="7" spans="2:11" ht="6" customHeight="1" x14ac:dyDescent="0.2">
      <c r="B7" s="67"/>
      <c r="C7" s="106"/>
      <c r="D7" s="83"/>
      <c r="E7" s="83"/>
      <c r="F7" s="84"/>
      <c r="G7" s="85"/>
      <c r="H7" s="69"/>
      <c r="I7" s="69"/>
      <c r="J7" s="86"/>
      <c r="K7" s="83"/>
    </row>
    <row r="8" spans="2:11" s="90" customFormat="1" ht="12" x14ac:dyDescent="0.2">
      <c r="B8" s="199" t="s">
        <v>3</v>
      </c>
      <c r="C8" s="199"/>
      <c r="D8" s="199"/>
      <c r="E8" s="199"/>
      <c r="F8" s="199"/>
      <c r="G8" s="199"/>
      <c r="H8" s="87"/>
      <c r="I8" s="88" t="s">
        <v>4</v>
      </c>
      <c r="J8" s="89"/>
      <c r="K8" s="88" t="s">
        <v>5</v>
      </c>
    </row>
    <row r="9" spans="2:11" ht="16" x14ac:dyDescent="0.2">
      <c r="B9" s="114" t="s">
        <v>11</v>
      </c>
      <c r="C9" s="115" t="s">
        <v>6</v>
      </c>
      <c r="D9" s="92" t="s">
        <v>39</v>
      </c>
      <c r="E9" s="92" t="s">
        <v>2</v>
      </c>
      <c r="F9" s="93" t="s">
        <v>7</v>
      </c>
      <c r="G9" s="94" t="s">
        <v>8</v>
      </c>
      <c r="H9" s="92"/>
      <c r="I9" s="92"/>
      <c r="J9" s="95"/>
      <c r="K9" s="92"/>
    </row>
    <row r="10" spans="2:11" ht="5.5" customHeight="1" x14ac:dyDescent="0.2">
      <c r="B10" s="114"/>
      <c r="C10" s="115"/>
      <c r="D10" s="92"/>
      <c r="E10" s="92"/>
      <c r="F10" s="93"/>
      <c r="G10" s="94"/>
      <c r="H10" s="92"/>
      <c r="I10" s="92"/>
      <c r="J10" s="95"/>
      <c r="K10" s="92"/>
    </row>
    <row r="11" spans="2:11" x14ac:dyDescent="0.2">
      <c r="B11" s="67"/>
      <c r="C11" s="106"/>
      <c r="D11" s="96"/>
      <c r="E11" s="83"/>
      <c r="F11" s="116">
        <v>165</v>
      </c>
      <c r="G11" s="99">
        <f>E11*F11</f>
        <v>0</v>
      </c>
      <c r="H11" s="69"/>
      <c r="I11" s="99">
        <f>G11</f>
        <v>0</v>
      </c>
      <c r="J11" s="86"/>
      <c r="K11" s="105">
        <f>IF(ISERROR(I11/$G$4),0,I11/SUM($E$11:E11))</f>
        <v>0</v>
      </c>
    </row>
    <row r="12" spans="2:11" x14ac:dyDescent="0.2">
      <c r="B12" s="67"/>
      <c r="C12" s="106"/>
      <c r="D12" s="96"/>
      <c r="E12" s="83"/>
      <c r="F12" s="116"/>
      <c r="G12" s="99">
        <f>E12*F12</f>
        <v>0</v>
      </c>
      <c r="H12" s="69"/>
      <c r="I12" s="99">
        <f>I11+G12</f>
        <v>0</v>
      </c>
      <c r="J12" s="86"/>
      <c r="K12" s="105">
        <f>IF(ISERROR(I12/$G$4),0,I12/SUM($E$11:E12))</f>
        <v>0</v>
      </c>
    </row>
    <row r="13" spans="2:11" x14ac:dyDescent="0.2">
      <c r="B13" s="67"/>
      <c r="C13" s="106"/>
      <c r="D13" s="96"/>
      <c r="E13" s="83"/>
      <c r="F13" s="116"/>
      <c r="G13" s="99">
        <f>E13*F13</f>
        <v>0</v>
      </c>
      <c r="H13" s="69"/>
      <c r="I13" s="99">
        <f>I12+G13</f>
        <v>0</v>
      </c>
      <c r="J13" s="86"/>
      <c r="K13" s="105">
        <f>IF(ISERROR(I13/$G$4),0,I13/SUM($E$11:E13))</f>
        <v>0</v>
      </c>
    </row>
    <row r="14" spans="2:11" x14ac:dyDescent="0.2">
      <c r="B14" s="67"/>
      <c r="C14" s="106"/>
      <c r="D14" s="96"/>
      <c r="E14" s="83"/>
      <c r="F14" s="116"/>
      <c r="G14" s="99">
        <f>E14*F14</f>
        <v>0</v>
      </c>
      <c r="H14" s="69"/>
      <c r="I14" s="99">
        <f>I13+G14</f>
        <v>0</v>
      </c>
      <c r="J14" s="86"/>
      <c r="K14" s="105">
        <f>IF(ISERROR(I14/$G$4),0,I14/SUM($E$11:E14))</f>
        <v>0</v>
      </c>
    </row>
    <row r="15" spans="2:11" x14ac:dyDescent="0.2">
      <c r="B15" s="67"/>
      <c r="C15" s="106"/>
      <c r="D15" s="96"/>
      <c r="E15" s="83"/>
      <c r="F15" s="116"/>
      <c r="G15" s="99">
        <f t="shared" ref="G15:G22" si="0">E15*F15</f>
        <v>0</v>
      </c>
      <c r="H15" s="69"/>
      <c r="I15" s="99">
        <f t="shared" ref="I15:I22" si="1">I14+G15</f>
        <v>0</v>
      </c>
      <c r="J15" s="86"/>
      <c r="K15" s="105">
        <f>IF(ISERROR(I15/$G$4),0,I15/SUM($E$11:E15))</f>
        <v>0</v>
      </c>
    </row>
    <row r="16" spans="2:11" x14ac:dyDescent="0.2">
      <c r="B16" s="67"/>
      <c r="C16" s="106"/>
      <c r="D16" s="96"/>
      <c r="E16" s="83"/>
      <c r="F16" s="116"/>
      <c r="G16" s="99">
        <f t="shared" si="0"/>
        <v>0</v>
      </c>
      <c r="H16" s="69"/>
      <c r="I16" s="99">
        <f t="shared" si="1"/>
        <v>0</v>
      </c>
      <c r="J16" s="86"/>
      <c r="K16" s="105">
        <f>IF(ISERROR(I16/$G$4),0,I16/SUM($E$11:E16))</f>
        <v>0</v>
      </c>
    </row>
    <row r="17" spans="2:12" x14ac:dyDescent="0.2">
      <c r="B17" s="67"/>
      <c r="C17" s="106"/>
      <c r="D17" s="96"/>
      <c r="E17" s="83"/>
      <c r="F17" s="116"/>
      <c r="G17" s="99">
        <f t="shared" si="0"/>
        <v>0</v>
      </c>
      <c r="H17" s="69"/>
      <c r="I17" s="99">
        <f t="shared" si="1"/>
        <v>0</v>
      </c>
      <c r="J17" s="86"/>
      <c r="K17" s="105">
        <f>IF(ISERROR(I17/$G$4),0,I17/SUM($E$11:E17))</f>
        <v>0</v>
      </c>
    </row>
    <row r="18" spans="2:12" x14ac:dyDescent="0.2">
      <c r="B18" s="67"/>
      <c r="C18" s="106"/>
      <c r="D18" s="96"/>
      <c r="E18" s="83"/>
      <c r="F18" s="116"/>
      <c r="G18" s="99">
        <f t="shared" si="0"/>
        <v>0</v>
      </c>
      <c r="H18" s="69"/>
      <c r="I18" s="99">
        <f t="shared" si="1"/>
        <v>0</v>
      </c>
      <c r="J18" s="86"/>
      <c r="K18" s="105">
        <f>IF(ISERROR(I18/$G$4),0,I18/SUM($E$11:E18))</f>
        <v>0</v>
      </c>
    </row>
    <row r="19" spans="2:12" x14ac:dyDescent="0.2">
      <c r="B19" s="67"/>
      <c r="C19" s="106"/>
      <c r="D19" s="96"/>
      <c r="E19" s="83"/>
      <c r="F19" s="116"/>
      <c r="G19" s="99">
        <f t="shared" si="0"/>
        <v>0</v>
      </c>
      <c r="H19" s="69"/>
      <c r="I19" s="99">
        <f t="shared" si="1"/>
        <v>0</v>
      </c>
      <c r="J19" s="86"/>
      <c r="K19" s="105">
        <f>IF(ISERROR(I19/$G$4),0,I19/SUM($E$11:E19))</f>
        <v>0</v>
      </c>
    </row>
    <row r="20" spans="2:12" x14ac:dyDescent="0.2">
      <c r="B20" s="67"/>
      <c r="C20" s="106"/>
      <c r="D20" s="96"/>
      <c r="E20" s="83"/>
      <c r="F20" s="116"/>
      <c r="G20" s="99">
        <f t="shared" si="0"/>
        <v>0</v>
      </c>
      <c r="H20" s="69"/>
      <c r="I20" s="99">
        <f t="shared" si="1"/>
        <v>0</v>
      </c>
      <c r="J20" s="86"/>
      <c r="K20" s="105">
        <f>IF(ISERROR(I20/$G$4),0,I20/SUM($E$11:E20))</f>
        <v>0</v>
      </c>
    </row>
    <row r="21" spans="2:12" x14ac:dyDescent="0.2">
      <c r="B21" s="67"/>
      <c r="C21" s="106"/>
      <c r="D21" s="96"/>
      <c r="E21" s="83"/>
      <c r="F21" s="116"/>
      <c r="G21" s="99">
        <f t="shared" si="0"/>
        <v>0</v>
      </c>
      <c r="H21" s="69"/>
      <c r="I21" s="99">
        <f t="shared" si="1"/>
        <v>0</v>
      </c>
      <c r="J21" s="86"/>
      <c r="K21" s="105">
        <f>IF(ISERROR(I21/$G$4),0,I21/SUM($E$11:E21))</f>
        <v>0</v>
      </c>
    </row>
    <row r="22" spans="2:12" x14ac:dyDescent="0.2">
      <c r="B22" s="67"/>
      <c r="C22" s="106"/>
      <c r="D22" s="96"/>
      <c r="E22" s="83"/>
      <c r="F22" s="116"/>
      <c r="G22" s="99">
        <f t="shared" si="0"/>
        <v>0</v>
      </c>
      <c r="H22" s="69"/>
      <c r="I22" s="99">
        <f t="shared" si="1"/>
        <v>0</v>
      </c>
      <c r="J22" s="86"/>
      <c r="K22" s="105">
        <f>IF(ISERROR(I22/$G$4),0,I22/SUM($E$11:E22))</f>
        <v>0</v>
      </c>
    </row>
    <row r="23" spans="2:12" x14ac:dyDescent="0.2">
      <c r="B23" s="67"/>
      <c r="C23" s="106"/>
      <c r="D23" s="96"/>
      <c r="E23" s="83"/>
      <c r="F23" s="116"/>
      <c r="G23" s="99">
        <f>E23*F23</f>
        <v>0</v>
      </c>
      <c r="H23" s="69"/>
      <c r="I23" s="99">
        <f>I14+G23</f>
        <v>0</v>
      </c>
      <c r="J23" s="86"/>
      <c r="K23" s="105">
        <f>IF(ISERROR(I23/$G$4),0,I23/SUM($E$11:E23))</f>
        <v>0</v>
      </c>
    </row>
    <row r="24" spans="2:12" x14ac:dyDescent="0.2">
      <c r="G24" s="133">
        <f>SUM(G11:G23)</f>
        <v>0</v>
      </c>
      <c r="H24" s="69"/>
      <c r="I24" s="85"/>
      <c r="J24" s="86"/>
      <c r="K24" s="134" t="e">
        <f>SUM(G11:G23)/SUM(E11:E23)</f>
        <v>#DIV/0!</v>
      </c>
    </row>
    <row r="25" spans="2:12" ht="6" customHeight="1" x14ac:dyDescent="0.2">
      <c r="B25" s="117"/>
      <c r="C25" s="118"/>
      <c r="D25" s="119"/>
      <c r="E25" s="119"/>
      <c r="F25" s="120"/>
      <c r="G25" s="121"/>
      <c r="H25" s="122"/>
      <c r="I25" s="122"/>
      <c r="J25" s="123"/>
      <c r="K25" s="119"/>
    </row>
    <row r="26" spans="2:12" ht="6.5" customHeight="1" x14ac:dyDescent="0.2">
      <c r="B26" s="117"/>
      <c r="C26" s="118"/>
      <c r="D26" s="119"/>
      <c r="E26" s="119"/>
      <c r="F26" s="120"/>
      <c r="G26" s="121"/>
      <c r="H26" s="122"/>
      <c r="I26" s="122"/>
      <c r="J26" s="123"/>
      <c r="K26" s="119"/>
    </row>
    <row r="27" spans="2:12" ht="16" x14ac:dyDescent="0.2">
      <c r="B27" s="39" t="s">
        <v>257</v>
      </c>
      <c r="C27" s="106" t="d">
        <v>2025-01-27</v>
      </c>
      <c r="D27" s="107"/>
      <c r="E27" s="83"/>
      <c r="F27" s="101">
        <v>197</v>
      </c>
      <c r="G27" s="36">
        <v>-109</v>
      </c>
      <c r="H27" s="69"/>
      <c r="I27" s="124">
        <f>I23+G27</f>
        <v>-109</v>
      </c>
      <c r="J27" s="86" t="s">
        <v>10</v>
      </c>
      <c r="K27" s="125" t="e">
        <f>I27/SUM($E$11:E27)</f>
        <v>#DIV/0!</v>
      </c>
    </row>
    <row r="28" spans="2:12" ht="17" customHeight="1" x14ac:dyDescent="0.2">
      <c r="B28" s="39" t="s">
        <v>366</v>
      </c>
      <c r="C28" s="106" t="d">
        <v>2025-04-21</v>
      </c>
      <c r="D28" s="107"/>
      <c r="E28" s="83"/>
      <c r="F28" s="101"/>
      <c r="G28" s="36">
        <v>-34</v>
      </c>
      <c r="H28" s="69"/>
      <c r="I28" s="124">
        <f t="shared" ref="I28:I62" si="2">I27+G28</f>
        <v>-143</v>
      </c>
      <c r="J28" s="86" t="s">
        <v>10</v>
      </c>
      <c r="K28" s="125" t="e">
        <f>I28/SUM($E$11:E28)</f>
        <v>#DIV/0!</v>
      </c>
      <c r="L28" s="86"/>
    </row>
    <row r="29" spans="2:12" x14ac:dyDescent="0.2">
      <c r="B29" s="39"/>
      <c r="C29" s="106"/>
      <c r="D29" s="107"/>
      <c r="E29" s="83"/>
      <c r="F29" s="84"/>
      <c r="G29" s="36">
        <v>0</v>
      </c>
      <c r="H29" s="69"/>
      <c r="I29" s="124">
        <f t="shared" si="2"/>
        <v>-143</v>
      </c>
      <c r="J29" s="86"/>
      <c r="K29" s="125" t="e">
        <f>I29/SUM($E$11:E29)</f>
        <v>#DIV/0!</v>
      </c>
    </row>
    <row r="30" spans="2:12" x14ac:dyDescent="0.2">
      <c r="B30" s="39"/>
      <c r="C30" s="106"/>
      <c r="D30" s="107"/>
      <c r="E30" s="83"/>
      <c r="F30" s="84"/>
      <c r="G30" s="36">
        <v>0</v>
      </c>
      <c r="H30" s="69"/>
      <c r="I30" s="124">
        <f t="shared" si="2"/>
        <v>-143</v>
      </c>
      <c r="J30" s="86"/>
      <c r="K30" s="125" t="e">
        <f>I30/SUM($E$11:E30)</f>
        <v>#DIV/0!</v>
      </c>
    </row>
    <row r="31" spans="2:12" x14ac:dyDescent="0.2">
      <c r="B31" s="39"/>
      <c r="C31" s="106"/>
      <c r="D31" s="107"/>
      <c r="E31" s="83"/>
      <c r="F31" s="84"/>
      <c r="G31" s="36">
        <v>0</v>
      </c>
      <c r="H31" s="69"/>
      <c r="I31" s="124">
        <f t="shared" si="2"/>
        <v>-143</v>
      </c>
      <c r="J31" s="86"/>
      <c r="K31" s="125" t="e">
        <f>I31/SUM($E$11:E31)</f>
        <v>#DIV/0!</v>
      </c>
    </row>
    <row r="32" spans="2:12" x14ac:dyDescent="0.2">
      <c r="B32" s="39"/>
      <c r="C32" s="106"/>
      <c r="D32" s="107"/>
      <c r="E32" s="83"/>
      <c r="F32" s="84"/>
      <c r="G32" s="36">
        <v>0</v>
      </c>
      <c r="H32" s="69"/>
      <c r="I32" s="124">
        <f t="shared" si="2"/>
        <v>-143</v>
      </c>
      <c r="J32" s="86"/>
      <c r="K32" s="125" t="e">
        <f>I32/SUM($E$11:E32)</f>
        <v>#DIV/0!</v>
      </c>
      <c r="L32" s="86"/>
    </row>
    <row r="33" spans="2:11" x14ac:dyDescent="0.2">
      <c r="B33" s="39"/>
      <c r="C33" s="106"/>
      <c r="D33" s="107"/>
      <c r="E33" s="83"/>
      <c r="F33" s="84"/>
      <c r="G33" s="36">
        <v>0</v>
      </c>
      <c r="H33" s="69"/>
      <c r="I33" s="124">
        <f t="shared" si="2"/>
        <v>-143</v>
      </c>
      <c r="J33" s="86"/>
      <c r="K33" s="125" t="e">
        <f>I33/SUM($E$11:E33)</f>
        <v>#DIV/0!</v>
      </c>
    </row>
    <row r="34" spans="2:11" x14ac:dyDescent="0.2">
      <c r="B34" s="39"/>
      <c r="C34" s="106"/>
      <c r="D34" s="107"/>
      <c r="E34" s="83"/>
      <c r="F34" s="84"/>
      <c r="G34" s="36">
        <v>0</v>
      </c>
      <c r="H34" s="69"/>
      <c r="I34" s="124">
        <f t="shared" si="2"/>
        <v>-143</v>
      </c>
      <c r="J34" s="86"/>
      <c r="K34" s="125" t="e">
        <f>I34/SUM($E$11:E34)</f>
        <v>#DIV/0!</v>
      </c>
    </row>
    <row r="35" spans="2:11" x14ac:dyDescent="0.2">
      <c r="B35" s="39"/>
      <c r="C35" s="106"/>
      <c r="D35" s="107"/>
      <c r="E35" s="83"/>
      <c r="F35" s="84"/>
      <c r="G35" s="36">
        <v>0</v>
      </c>
      <c r="H35" s="69"/>
      <c r="I35" s="124">
        <f t="shared" si="2"/>
        <v>-143</v>
      </c>
      <c r="J35" s="86"/>
      <c r="K35" s="125" t="e">
        <f>I35/SUM($E$11:E35)</f>
        <v>#DIV/0!</v>
      </c>
    </row>
    <row r="36" spans="2:11" x14ac:dyDescent="0.2">
      <c r="B36" s="39"/>
      <c r="C36" s="106"/>
      <c r="D36" s="107"/>
      <c r="E36" s="83"/>
      <c r="F36" s="84"/>
      <c r="G36" s="36">
        <v>0</v>
      </c>
      <c r="H36" s="69"/>
      <c r="I36" s="124">
        <f t="shared" si="2"/>
        <v>-143</v>
      </c>
      <c r="J36" s="86"/>
      <c r="K36" s="125" t="e">
        <f>I36/SUM($E$11:E36)</f>
        <v>#DIV/0!</v>
      </c>
    </row>
    <row r="37" spans="2:11" x14ac:dyDescent="0.2">
      <c r="B37" s="39"/>
      <c r="C37" s="106"/>
      <c r="D37" s="107"/>
      <c r="E37" s="83"/>
      <c r="F37" s="84"/>
      <c r="G37" s="36">
        <v>0</v>
      </c>
      <c r="H37" s="69"/>
      <c r="I37" s="124">
        <f t="shared" si="2"/>
        <v>-143</v>
      </c>
      <c r="J37" s="86"/>
      <c r="K37" s="125" t="e">
        <f>I37/SUM($E$11:E37)</f>
        <v>#DIV/0!</v>
      </c>
    </row>
    <row r="38" spans="2:11" x14ac:dyDescent="0.2">
      <c r="B38" s="39"/>
      <c r="C38" s="106"/>
      <c r="D38" s="107"/>
      <c r="E38" s="83"/>
      <c r="F38" s="84"/>
      <c r="G38" s="36">
        <v>0</v>
      </c>
      <c r="H38" s="69"/>
      <c r="I38" s="124">
        <f t="shared" si="2"/>
        <v>-143</v>
      </c>
      <c r="J38" s="86"/>
      <c r="K38" s="125" t="e">
        <f>I38/SUM($E$11:E38)</f>
        <v>#DIV/0!</v>
      </c>
    </row>
    <row r="39" spans="2:11" x14ac:dyDescent="0.2">
      <c r="B39" s="39"/>
      <c r="C39" s="106"/>
      <c r="D39" s="107"/>
      <c r="E39" s="83"/>
      <c r="F39" s="84"/>
      <c r="G39" s="36">
        <v>0</v>
      </c>
      <c r="H39" s="69"/>
      <c r="I39" s="124">
        <f t="shared" si="2"/>
        <v>-143</v>
      </c>
      <c r="J39" s="86"/>
      <c r="K39" s="125" t="e">
        <f>I39/SUM($E$11:E39)</f>
        <v>#DIV/0!</v>
      </c>
    </row>
    <row r="40" spans="2:11" x14ac:dyDescent="0.2">
      <c r="B40" s="39"/>
      <c r="C40" s="106"/>
      <c r="D40" s="107"/>
      <c r="E40" s="83"/>
      <c r="F40" s="84"/>
      <c r="G40" s="36">
        <v>0</v>
      </c>
      <c r="H40" s="69"/>
      <c r="I40" s="124">
        <f t="shared" si="2"/>
        <v>-143</v>
      </c>
      <c r="J40" s="86"/>
      <c r="K40" s="125" t="e">
        <f>I40/SUM($E$11:E40)</f>
        <v>#DIV/0!</v>
      </c>
    </row>
    <row r="41" spans="2:11" x14ac:dyDescent="0.2">
      <c r="B41" s="39"/>
      <c r="C41" s="106"/>
      <c r="D41" s="107"/>
      <c r="E41" s="83"/>
      <c r="F41" s="84"/>
      <c r="G41" s="36">
        <v>0</v>
      </c>
      <c r="H41" s="69"/>
      <c r="I41" s="124">
        <f t="shared" si="2"/>
        <v>-143</v>
      </c>
      <c r="J41" s="86"/>
      <c r="K41" s="125" t="e">
        <f>I41/SUM($E$11:E41)</f>
        <v>#DIV/0!</v>
      </c>
    </row>
    <row r="42" spans="2:11" x14ac:dyDescent="0.2">
      <c r="B42" s="39"/>
      <c r="C42" s="106"/>
      <c r="D42" s="107"/>
      <c r="E42" s="83"/>
      <c r="F42" s="84"/>
      <c r="G42" s="36">
        <v>0</v>
      </c>
      <c r="H42" s="69"/>
      <c r="I42" s="124">
        <f t="shared" si="2"/>
        <v>-143</v>
      </c>
      <c r="J42" s="86"/>
      <c r="K42" s="125" t="e">
        <f>I42/SUM($E$11:E42)</f>
        <v>#DIV/0!</v>
      </c>
    </row>
    <row r="43" spans="2:11" x14ac:dyDescent="0.2">
      <c r="B43" s="39"/>
      <c r="C43" s="106"/>
      <c r="D43" s="107"/>
      <c r="E43" s="83"/>
      <c r="F43" s="84"/>
      <c r="G43" s="36">
        <v>0</v>
      </c>
      <c r="H43" s="69"/>
      <c r="I43" s="124">
        <f t="shared" si="2"/>
        <v>-143</v>
      </c>
      <c r="J43" s="86"/>
      <c r="K43" s="125" t="e">
        <f>I43/SUM($E$11:E43)</f>
        <v>#DIV/0!</v>
      </c>
    </row>
    <row r="44" spans="2:11" x14ac:dyDescent="0.2">
      <c r="B44" s="39"/>
      <c r="C44" s="106"/>
      <c r="D44" s="107"/>
      <c r="E44" s="83"/>
      <c r="F44" s="84"/>
      <c r="G44" s="36">
        <v>0</v>
      </c>
      <c r="H44" s="69"/>
      <c r="I44" s="124">
        <f t="shared" si="2"/>
        <v>-143</v>
      </c>
      <c r="J44" s="86"/>
      <c r="K44" s="125" t="e">
        <f>I44/SUM($E$11:E44)</f>
        <v>#DIV/0!</v>
      </c>
    </row>
    <row r="45" spans="2:11" x14ac:dyDescent="0.2">
      <c r="B45" s="39"/>
      <c r="C45" s="106"/>
      <c r="D45" s="107"/>
      <c r="E45" s="83"/>
      <c r="F45" s="84"/>
      <c r="G45" s="36">
        <v>0</v>
      </c>
      <c r="H45" s="69"/>
      <c r="I45" s="124">
        <f t="shared" si="2"/>
        <v>-143</v>
      </c>
      <c r="J45" s="86"/>
      <c r="K45" s="125" t="e">
        <f>I45/SUM($E$11:E45)</f>
        <v>#DIV/0!</v>
      </c>
    </row>
    <row r="46" spans="2:11" x14ac:dyDescent="0.2">
      <c r="B46" s="39"/>
      <c r="C46" s="106"/>
      <c r="D46" s="107"/>
      <c r="E46" s="83"/>
      <c r="F46" s="84"/>
      <c r="G46" s="36">
        <v>0</v>
      </c>
      <c r="H46" s="69"/>
      <c r="I46" s="124">
        <f t="shared" si="2"/>
        <v>-143</v>
      </c>
      <c r="J46" s="86"/>
      <c r="K46" s="125" t="e">
        <f>I46/SUM($E$11:E46)</f>
        <v>#DIV/0!</v>
      </c>
    </row>
    <row r="47" spans="2:11" x14ac:dyDescent="0.2">
      <c r="B47" s="39"/>
      <c r="C47" s="106"/>
      <c r="D47" s="107"/>
      <c r="E47" s="83"/>
      <c r="F47" s="84"/>
      <c r="G47" s="36">
        <v>0</v>
      </c>
      <c r="H47" s="69"/>
      <c r="I47" s="124">
        <f t="shared" si="2"/>
        <v>-143</v>
      </c>
      <c r="J47" s="86"/>
      <c r="K47" s="125" t="e">
        <f>I47/SUM($E$11:E47)</f>
        <v>#DIV/0!</v>
      </c>
    </row>
    <row r="48" spans="2:11" x14ac:dyDescent="0.2">
      <c r="B48" s="39"/>
      <c r="C48" s="106"/>
      <c r="D48" s="107"/>
      <c r="E48" s="83"/>
      <c r="F48" s="84"/>
      <c r="G48" s="36">
        <v>0</v>
      </c>
      <c r="H48" s="69"/>
      <c r="I48" s="124">
        <f t="shared" si="2"/>
        <v>-143</v>
      </c>
      <c r="J48" s="86"/>
      <c r="K48" s="125" t="e">
        <f>I48/SUM($E$11:E48)</f>
        <v>#DIV/0!</v>
      </c>
    </row>
    <row r="49" spans="2:11" x14ac:dyDescent="0.2">
      <c r="B49" s="39"/>
      <c r="C49" s="106"/>
      <c r="D49" s="107"/>
      <c r="E49" s="83"/>
      <c r="F49" s="84"/>
      <c r="G49" s="36">
        <v>0</v>
      </c>
      <c r="H49" s="69"/>
      <c r="I49" s="124">
        <f t="shared" si="2"/>
        <v>-143</v>
      </c>
      <c r="J49" s="86"/>
      <c r="K49" s="125" t="e">
        <f>I49/SUM($E$11:E49)</f>
        <v>#DIV/0!</v>
      </c>
    </row>
    <row r="50" spans="2:11" x14ac:dyDescent="0.2">
      <c r="B50" s="39"/>
      <c r="C50" s="106"/>
      <c r="D50" s="107"/>
      <c r="E50" s="83"/>
      <c r="F50" s="84"/>
      <c r="G50" s="36">
        <v>0</v>
      </c>
      <c r="H50" s="69"/>
      <c r="I50" s="124">
        <f t="shared" si="2"/>
        <v>-143</v>
      </c>
      <c r="J50" s="86"/>
      <c r="K50" s="125" t="e">
        <f>I50/SUM($E$11:E50)</f>
        <v>#DIV/0!</v>
      </c>
    </row>
    <row r="51" spans="2:11" customFormat="1" ht="16" customHeight="1" x14ac:dyDescent="0.2">
      <c r="B51" s="39"/>
      <c r="C51" s="58"/>
      <c r="D51" s="53"/>
      <c r="E51" s="17"/>
      <c r="F51" s="18"/>
      <c r="G51" s="36">
        <v>0</v>
      </c>
      <c r="H51" s="20"/>
      <c r="I51" s="46">
        <f t="shared" si="2"/>
        <v>-143</v>
      </c>
      <c r="J51" s="31"/>
      <c r="K51" s="37" t="e">
        <f>I51/SUM($E$11:E51)</f>
        <v>#DIV/0!</v>
      </c>
    </row>
    <row r="52" spans="2:11" x14ac:dyDescent="0.2">
      <c r="B52" s="39"/>
      <c r="C52" s="106"/>
      <c r="D52" s="107"/>
      <c r="E52" s="83"/>
      <c r="F52" s="84"/>
      <c r="G52" s="36">
        <v>0</v>
      </c>
      <c r="H52" s="69"/>
      <c r="I52" s="124">
        <f t="shared" si="2"/>
        <v>-143</v>
      </c>
      <c r="J52" s="86"/>
      <c r="K52" s="125" t="e">
        <f>I52/SUM($E$11:E52)</f>
        <v>#DIV/0!</v>
      </c>
    </row>
    <row r="53" spans="2:11" x14ac:dyDescent="0.2">
      <c r="B53" s="39"/>
      <c r="C53" s="106"/>
      <c r="D53" s="107"/>
      <c r="E53" s="83"/>
      <c r="F53" s="84"/>
      <c r="G53" s="36">
        <v>0</v>
      </c>
      <c r="H53" s="69"/>
      <c r="I53" s="124">
        <f t="shared" si="2"/>
        <v>-143</v>
      </c>
      <c r="J53" s="86"/>
      <c r="K53" s="125" t="e">
        <f>I53/SUM($E$11:E53)</f>
        <v>#DIV/0!</v>
      </c>
    </row>
    <row r="54" spans="2:11" x14ac:dyDescent="0.2">
      <c r="B54" s="39"/>
      <c r="C54" s="106"/>
      <c r="D54" s="107"/>
      <c r="E54" s="83"/>
      <c r="F54" s="84"/>
      <c r="G54" s="36">
        <v>0</v>
      </c>
      <c r="H54" s="69"/>
      <c r="I54" s="124">
        <f t="shared" si="2"/>
        <v>-143</v>
      </c>
      <c r="J54" s="86"/>
      <c r="K54" s="125" t="e">
        <f>I54/SUM($E$11:E54)</f>
        <v>#DIV/0!</v>
      </c>
    </row>
    <row r="55" spans="2:11" x14ac:dyDescent="0.2">
      <c r="B55" s="39"/>
      <c r="C55" s="106"/>
      <c r="D55" s="107"/>
      <c r="E55" s="83"/>
      <c r="F55" s="84"/>
      <c r="G55" s="36">
        <v>0</v>
      </c>
      <c r="H55" s="69"/>
      <c r="I55" s="124">
        <f t="shared" si="2"/>
        <v>-143</v>
      </c>
      <c r="J55" s="86"/>
      <c r="K55" s="125" t="e">
        <f>I55/SUM($E$11:E55)</f>
        <v>#DIV/0!</v>
      </c>
    </row>
    <row r="56" spans="2:11" x14ac:dyDescent="0.2">
      <c r="B56" s="39"/>
      <c r="C56" s="106"/>
      <c r="D56" s="107"/>
      <c r="E56" s="83"/>
      <c r="F56" s="84"/>
      <c r="G56" s="36"/>
      <c r="H56" s="69"/>
      <c r="I56" s="124">
        <f t="shared" si="2"/>
        <v>-143</v>
      </c>
      <c r="J56" s="86"/>
      <c r="K56" s="125" t="e">
        <f>I56/SUM($E$11:E56)</f>
        <v>#DIV/0!</v>
      </c>
    </row>
    <row r="57" spans="2:11" x14ac:dyDescent="0.2">
      <c r="B57" s="39"/>
      <c r="C57" s="106"/>
      <c r="D57" s="107"/>
      <c r="E57" s="83"/>
      <c r="F57" s="84"/>
      <c r="G57" s="36"/>
      <c r="H57" s="69"/>
      <c r="I57" s="124">
        <f t="shared" si="2"/>
        <v>-143</v>
      </c>
      <c r="J57" s="86"/>
      <c r="K57" s="125" t="e">
        <f>I57/SUM($E$11:E57)</f>
        <v>#DIV/0!</v>
      </c>
    </row>
    <row r="58" spans="2:11" x14ac:dyDescent="0.2">
      <c r="B58" s="39"/>
      <c r="C58" s="106"/>
      <c r="D58" s="107"/>
      <c r="E58" s="83"/>
      <c r="F58" s="84"/>
      <c r="G58" s="36"/>
      <c r="H58" s="69"/>
      <c r="I58" s="124">
        <f t="shared" si="2"/>
        <v>-143</v>
      </c>
      <c r="J58" s="86"/>
      <c r="K58" s="125" t="e">
        <f>I58/SUM($E$11:E58)</f>
        <v>#DIV/0!</v>
      </c>
    </row>
    <row r="59" spans="2:11" x14ac:dyDescent="0.2">
      <c r="B59" s="39"/>
      <c r="C59" s="106"/>
      <c r="D59" s="107"/>
      <c r="E59" s="83"/>
      <c r="F59" s="84"/>
      <c r="G59" s="36"/>
      <c r="H59" s="69"/>
      <c r="I59" s="124">
        <f t="shared" si="2"/>
        <v>-143</v>
      </c>
      <c r="J59" s="86"/>
      <c r="K59" s="125" t="e">
        <f>I59/SUM($E$11:E59)</f>
        <v>#DIV/0!</v>
      </c>
    </row>
    <row r="60" spans="2:11" x14ac:dyDescent="0.2">
      <c r="B60" s="39"/>
      <c r="C60" s="106"/>
      <c r="D60" s="107"/>
      <c r="E60" s="83"/>
      <c r="F60" s="84"/>
      <c r="G60" s="36"/>
      <c r="H60" s="69"/>
      <c r="I60" s="124">
        <f t="shared" si="2"/>
        <v>-143</v>
      </c>
      <c r="J60" s="86"/>
      <c r="K60" s="125" t="e">
        <f>I60/SUM($E$11:E60)</f>
        <v>#DIV/0!</v>
      </c>
    </row>
    <row r="61" spans="2:11" x14ac:dyDescent="0.2">
      <c r="B61" s="39"/>
      <c r="C61" s="106"/>
      <c r="D61" s="107"/>
      <c r="E61" s="83"/>
      <c r="F61" s="84"/>
      <c r="G61" s="36"/>
      <c r="H61" s="69"/>
      <c r="I61" s="124">
        <f t="shared" si="2"/>
        <v>-143</v>
      </c>
      <c r="J61" s="86"/>
      <c r="K61" s="125" t="e">
        <f>I61/SUM($E$11:E61)</f>
        <v>#DIV/0!</v>
      </c>
    </row>
    <row r="62" spans="2:11" x14ac:dyDescent="0.2">
      <c r="B62" s="39"/>
      <c r="C62" s="106"/>
      <c r="D62" s="107"/>
      <c r="E62" s="83"/>
      <c r="F62" s="84"/>
      <c r="G62" s="36"/>
      <c r="H62" s="69"/>
      <c r="I62" s="124">
        <f t="shared" si="2"/>
        <v>-143</v>
      </c>
      <c r="J62" s="86"/>
      <c r="K62" s="125" t="e">
        <f>I62/SUM($E$11:E62)</f>
        <v>#DIV/0!</v>
      </c>
    </row>
    <row r="63" spans="2:11" ht="4.75" customHeight="1" x14ac:dyDescent="0.2">
      <c r="B63" s="67"/>
      <c r="C63" s="106"/>
      <c r="D63" s="107"/>
      <c r="E63" s="83"/>
      <c r="F63" s="84"/>
      <c r="G63" s="85"/>
      <c r="H63" s="69"/>
      <c r="I63" s="69"/>
      <c r="J63" s="86"/>
      <c r="K63" s="83"/>
    </row>
    <row r="64" spans="2:11" ht="19" x14ac:dyDescent="0.2">
      <c r="B64" s="67"/>
      <c r="C64" s="106"/>
      <c r="D64" s="107"/>
      <c r="E64" s="102"/>
      <c r="F64" s="103"/>
      <c r="G64" s="135">
        <f>SUM(G27:G62)</f>
        <v>-143</v>
      </c>
      <c r="H64" s="69"/>
      <c r="I64" s="69"/>
      <c r="J64" s="86"/>
      <c r="K64" s="134"/>
    </row>
    <row r="65" spans="4:4" x14ac:dyDescent="0.2">
      <c r="D65" s="126"/>
    </row>
    <row r="66" spans="4:4" x14ac:dyDescent="0.2">
      <c r="D66" s="126"/>
    </row>
    <row r="67" spans="4:4" x14ac:dyDescent="0.2">
      <c r="D67" s="126"/>
    </row>
    <row r="68" spans="4:4" x14ac:dyDescent="0.2">
      <c r="D68" s="126"/>
    </row>
  </sheetData>
  <mergeCells count="1">
    <mergeCell ref="B8:G8"/>
  </mergeCells>
  <conditionalFormatting sqref="B29:B55">
    <cfRule type="expression" dxfId="519" priority="9">
      <formula>AND(ISNUMBER(SEARCH("call", B29)), J29="expired")</formula>
    </cfRule>
    <cfRule type="expression" dxfId="518" priority="10">
      <formula>AND(ISNUMBER(SEARCH("call", B29)), J29="assigned")</formula>
    </cfRule>
    <cfRule type="expression" dxfId="517" priority="11">
      <formula>J29="assigned"</formula>
    </cfRule>
    <cfRule type="expression" dxfId="516" priority="12">
      <formula>J29="expired"</formula>
    </cfRule>
  </conditionalFormatting>
  <conditionalFormatting sqref="B56:B62">
    <cfRule type="expression" dxfId="515" priority="5">
      <formula>AND(ISNUMBER(SEARCH("call", B56)), J56="expired")</formula>
    </cfRule>
    <cfRule type="expression" dxfId="514" priority="6">
      <formula>AND(ISNUMBER(SEARCH("call", B56)), J56="assigned")</formula>
    </cfRule>
    <cfRule type="expression" dxfId="513" priority="7">
      <formula>J56="assigned"</formula>
    </cfRule>
    <cfRule type="expression" dxfId="512" priority="8">
      <formula>J56="expired"</formula>
    </cfRule>
  </conditionalFormatting>
  <conditionalFormatting sqref="B27:B28">
    <cfRule type="expression" dxfId="511" priority="1">
      <formula>AND(ISNUMBER(SEARCH("call", B27)), J27="expired")</formula>
    </cfRule>
    <cfRule type="expression" dxfId="510" priority="2">
      <formula>AND(ISNUMBER(SEARCH("call", B27)), J27="assigned")</formula>
    </cfRule>
    <cfRule type="expression" dxfId="509" priority="3">
      <formula>J27="assigned"</formula>
    </cfRule>
    <cfRule type="expression" dxfId="508" priority="4">
      <formula>J27="expired"</formula>
    </cfRule>
  </conditionalFormatting>
  <pageMargins left="0.7" right="0.7" top="0.75" bottom="0.75" header="0.3" footer="0.3"/>
  <pageSetup paperSize="0" orientation="portrait"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870A-5141-7342-B903-F973050548C8}">
  <sheetPr codeName="Sheet42"/>
  <dimension ref="B1:N79"/>
  <sheetViews>
    <sheetView zoomScale="120" zoomScaleNormal="120" workbookViewId="0">
      <selection activeCell="J41" sqref="J41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35</v>
      </c>
      <c r="C1" s="197"/>
    </row>
    <row r="2" spans="2:14" x14ac:dyDescent="0.2">
      <c r="B2" s="1" t="s">
        <v>280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-76.050000000000182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ht="16" x14ac:dyDescent="0.2">
      <c r="B11" s="39" t="s">
        <v>36</v>
      </c>
      <c r="C11" s="16" t="d">
        <v>2020-04-08</v>
      </c>
      <c r="D11" s="16"/>
      <c r="E11" s="17">
        <v>15</v>
      </c>
      <c r="F11" s="35">
        <v>147.47999999999999</v>
      </c>
      <c r="G11" s="44">
        <f>E11*F11</f>
        <v>2212.1999999999998</v>
      </c>
      <c r="H11" s="20"/>
      <c r="I11" s="36">
        <f>G11</f>
        <v>2212.1999999999998</v>
      </c>
      <c r="J11" s="31"/>
      <c r="K11" s="36">
        <f>I11/E11</f>
        <v>147.47999999999999</v>
      </c>
    </row>
    <row r="12" spans="2:14" ht="16" x14ac:dyDescent="0.2">
      <c r="B12" s="39" t="s">
        <v>36</v>
      </c>
      <c r="C12" s="16" t="d">
        <v>2020-04-17</v>
      </c>
      <c r="D12" s="16"/>
      <c r="E12" s="17">
        <v>5</v>
      </c>
      <c r="F12" s="35">
        <v>149.15</v>
      </c>
      <c r="G12" s="44">
        <f>E12*F12</f>
        <v>745.75</v>
      </c>
      <c r="H12" s="20"/>
      <c r="I12" s="36">
        <f>I11+G12</f>
        <v>2957.95</v>
      </c>
      <c r="J12" s="31"/>
      <c r="K12" s="36">
        <f>I12/SUM($E$11:E12)</f>
        <v>147.89749999999998</v>
      </c>
    </row>
    <row r="13" spans="2:14" ht="16" x14ac:dyDescent="0.2">
      <c r="B13" s="39" t="s">
        <v>98</v>
      </c>
      <c r="C13" s="16" t="d">
        <v>2024-10-15</v>
      </c>
      <c r="D13" s="16"/>
      <c r="E13" s="17">
        <v>-20</v>
      </c>
      <c r="F13" s="35">
        <v>150</v>
      </c>
      <c r="G13" s="44">
        <f t="shared" ref="G13:G37" si="0">E13*F13</f>
        <v>-3000</v>
      </c>
      <c r="H13" s="20"/>
      <c r="I13" s="36">
        <f>I12+G13</f>
        <v>-42.050000000000182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-42.050000000000182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-42.050000000000182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-42.050000000000182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-42.050000000000182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-42.050000000000182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-42.050000000000182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-42.050000000000182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-42.050000000000182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-42.050000000000182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-42.050000000000182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-42.050000000000182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-42.050000000000182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-42.050000000000182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-42.050000000000182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-42.050000000000182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-42.050000000000182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-42.050000000000182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-42.050000000000182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-42.050000000000182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-42.050000000000182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-42.050000000000182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-42.050000000000182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-42.050000000000182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-42.050000000000182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-42.050000000000182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5" customHeight="1" x14ac:dyDescent="0.2">
      <c r="B41" s="39" t="s">
        <v>370</v>
      </c>
      <c r="C41" s="58" t="d">
        <v>2025-04-21</v>
      </c>
      <c r="D41" s="16"/>
      <c r="E41" s="155"/>
      <c r="F41" s="21"/>
      <c r="G41" s="36">
        <v>-34</v>
      </c>
      <c r="H41" s="20"/>
      <c r="I41" s="36">
        <f>I13+G41</f>
        <v>-76.050000000000182</v>
      </c>
      <c r="J41" s="31"/>
      <c r="K41" s="36" t="e">
        <f>I41/SUM($E$11:E41)</f>
        <v>#DIV/0!</v>
      </c>
    </row>
    <row r="42" spans="2:11" x14ac:dyDescent="0.2">
      <c r="B42" s="39"/>
      <c r="C42" s="58"/>
      <c r="D42" s="16"/>
      <c r="E42" s="155"/>
      <c r="F42" s="21"/>
      <c r="G42" s="36">
        <v>0</v>
      </c>
      <c r="H42" s="17"/>
      <c r="I42" s="36">
        <f t="shared" ref="I42:I76" si="2">I41+G42</f>
        <v>-76.050000000000182</v>
      </c>
      <c r="J42" s="31"/>
      <c r="K42" s="36" t="e">
        <f>I42/SUM($E$11:E42)</f>
        <v>#DIV/0!</v>
      </c>
    </row>
    <row r="43" spans="2:11" x14ac:dyDescent="0.2">
      <c r="B43" s="39"/>
      <c r="C43" s="58"/>
      <c r="D43" s="16"/>
      <c r="E43" s="155"/>
      <c r="G43" s="36">
        <v>0</v>
      </c>
      <c r="H43" s="17"/>
      <c r="I43" s="36">
        <f t="shared" si="2"/>
        <v>-76.050000000000182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-76.050000000000182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-76.050000000000182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-76.050000000000182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-76.050000000000182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-76.050000000000182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-76.050000000000182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-76.050000000000182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-76.050000000000182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-76.050000000000182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-76.050000000000182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-76.050000000000182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-76.050000000000182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-76.050000000000182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-76.050000000000182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-76.050000000000182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-76.050000000000182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-76.050000000000182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-76.050000000000182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-76.050000000000182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-76.050000000000182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-76.050000000000182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-76.050000000000182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-76.050000000000182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-76.050000000000182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-76.050000000000182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-76.050000000000182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-76.050000000000182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-76.050000000000182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-76.050000000000182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-76.050000000000182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-76.050000000000182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-76.050000000000182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-76.050000000000182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-34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507" priority="8" stopIfTrue="1">
      <formula>J77="assigned"</formula>
    </cfRule>
    <cfRule type="expression" dxfId="506" priority="9">
      <formula>J77="expired"</formula>
    </cfRule>
  </conditionalFormatting>
  <conditionalFormatting sqref="B77:B116">
    <cfRule type="expression" dxfId="505" priority="6">
      <formula>AND(ISNUMBER(SEARCH("call", B77)), J77="expired")</formula>
    </cfRule>
    <cfRule type="expression" dxfId="504" priority="7">
      <formula>AND(ISNUMBER(SEARCH("call", B77)), J77="assigned")</formula>
    </cfRule>
  </conditionalFormatting>
  <conditionalFormatting sqref="B41:B76">
    <cfRule type="expression" dxfId="503" priority="1" stopIfTrue="1">
      <formula>J41="ROLL"</formula>
    </cfRule>
    <cfRule type="expression" dxfId="502" priority="2" stopIfTrue="1">
      <formula>AND(ISNUMBER(SEARCH("call", B41)), J41="expired")</formula>
    </cfRule>
    <cfRule type="expression" dxfId="501" priority="3" stopIfTrue="1">
      <formula>AND(ISNUMBER(SEARCH("call", B41)), J41="assigned")</formula>
    </cfRule>
    <cfRule type="expression" dxfId="500" priority="4" stopIfTrue="1">
      <formula>J41="assigned"</formula>
    </cfRule>
    <cfRule type="expression" dxfId="499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FCBE-476A-2D46-919B-BAF48078DE57}">
  <sheetPr codeName="Sheet57"/>
  <dimension ref="B1:N79"/>
  <sheetViews>
    <sheetView zoomScale="120" zoomScaleNormal="120" workbookViewId="0">
      <selection activeCell="C22" sqref="C22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494</v>
      </c>
      <c r="C1" s="197"/>
    </row>
    <row r="2" spans="2:14" x14ac:dyDescent="0.2">
      <c r="B2" s="1" t="s">
        <v>495</v>
      </c>
      <c r="C2" s="56"/>
      <c r="D2" s="2"/>
      <c r="F2" s="3"/>
      <c r="G2" s="4"/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-134</v>
      </c>
      <c r="I3" t="s">
        <v>279</v>
      </c>
      <c r="J3" s="30">
        <v>28.99</v>
      </c>
      <c r="K3" s="6"/>
    </row>
    <row r="4" spans="2:14" x14ac:dyDescent="0.2">
      <c r="B4" s="1"/>
      <c r="C4" s="56"/>
      <c r="D4" s="2"/>
      <c r="F4" s="3" t="s">
        <v>2</v>
      </c>
      <c r="G4" s="9">
        <f>SUM(E11:E37)</f>
        <v>0</v>
      </c>
    </row>
    <row r="5" spans="2:14" x14ac:dyDescent="0.2">
      <c r="C5" s="56"/>
      <c r="D5" s="2"/>
      <c r="F5" s="3"/>
      <c r="G5" s="4"/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  <c r="N12" s="144" t="s">
        <v>268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  <c r="N13" s="143" t="s">
        <v>269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  <c r="N14" s="145" t="s">
        <v>270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  <c r="N15" s="146" t="s">
        <v>271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  <c r="N16" s="147" t="s">
        <v>266</v>
      </c>
    </row>
    <row r="17" spans="2:14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  <c r="N17" s="164" t="s">
        <v>493</v>
      </c>
    </row>
    <row r="18" spans="2:14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4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4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4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4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4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4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4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4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4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4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4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4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4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4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20" customHeight="1" x14ac:dyDescent="0.2">
      <c r="B41" s="39" t="s">
        <v>496</v>
      </c>
      <c r="C41" s="58" t="d">
        <v>2025-07-03</v>
      </c>
      <c r="D41" s="16"/>
      <c r="E41" s="155"/>
      <c r="F41" s="21"/>
      <c r="G41" s="36">
        <v>-134</v>
      </c>
      <c r="H41" s="20"/>
      <c r="I41" s="36">
        <f>I13+G41</f>
        <v>-134</v>
      </c>
      <c r="J41" s="31"/>
      <c r="K41" s="36" t="e">
        <f>I41/SUM($E$11:E41)</f>
        <v>#DIV/0!</v>
      </c>
    </row>
    <row r="42" spans="2:11" x14ac:dyDescent="0.2">
      <c r="B42" s="39"/>
      <c r="C42" s="58"/>
      <c r="D42" s="16"/>
      <c r="E42" s="155"/>
      <c r="F42" s="21"/>
      <c r="G42" s="36">
        <v>0</v>
      </c>
      <c r="H42" s="17"/>
      <c r="I42" s="36">
        <f t="shared" ref="I42:I76" si="2">I41+G42</f>
        <v>-134</v>
      </c>
      <c r="J42" s="31"/>
      <c r="K42" s="36" t="e">
        <f>I42/SUM($E$11:E42)</f>
        <v>#DIV/0!</v>
      </c>
    </row>
    <row r="43" spans="2:11" x14ac:dyDescent="0.2">
      <c r="B43" s="39"/>
      <c r="C43" s="58"/>
      <c r="D43" s="16"/>
      <c r="E43" s="155"/>
      <c r="G43" s="36">
        <v>0</v>
      </c>
      <c r="H43" s="17"/>
      <c r="I43" s="36">
        <f t="shared" si="2"/>
        <v>-134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-134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-134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-134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-134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-134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-134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-134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-134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-134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-134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-134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-134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-134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-134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-134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-134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-134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-134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-134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-134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-134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-134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-134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-134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-134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-134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-134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-134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-134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-134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-134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-134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-134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-134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498" priority="9" stopIfTrue="1">
      <formula>J77="assigned"</formula>
    </cfRule>
    <cfRule type="expression" dxfId="497" priority="10">
      <formula>J77="expired"</formula>
    </cfRule>
  </conditionalFormatting>
  <conditionalFormatting sqref="B77:B116">
    <cfRule type="expression" dxfId="496" priority="7">
      <formula>AND(ISNUMBER(SEARCH("call", B77)), J77="expired")</formula>
    </cfRule>
    <cfRule type="expression" dxfId="495" priority="8">
      <formula>AND(ISNUMBER(SEARCH("call", B77)), J77="assigned")</formula>
    </cfRule>
  </conditionalFormatting>
  <conditionalFormatting sqref="B41:B76">
    <cfRule type="expression" dxfId="494" priority="1" stopIfTrue="1">
      <formula>J41="closed"</formula>
    </cfRule>
    <cfRule type="expression" dxfId="493" priority="2" stopIfTrue="1">
      <formula>J41="ROLL"</formula>
    </cfRule>
    <cfRule type="expression" dxfId="492" priority="3" stopIfTrue="1">
      <formula>AND(ISNUMBER(SEARCH("call", B41)), J41="expired")</formula>
    </cfRule>
    <cfRule type="expression" dxfId="491" priority="4" stopIfTrue="1">
      <formula>AND(ISNUMBER(SEARCH("call", B41)), J41="assigned")</formula>
    </cfRule>
    <cfRule type="expression" dxfId="490" priority="5" stopIfTrue="1">
      <formula>J41="assigned"</formula>
    </cfRule>
    <cfRule type="expression" dxfId="489" priority="6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102A-24B5-AA40-8588-9F5A7571BC59}">
  <sheetPr codeName="Sheet32"/>
  <dimension ref="B1:N79"/>
  <sheetViews>
    <sheetView topLeftCell="A7" zoomScale="120" zoomScaleNormal="120" workbookViewId="0">
      <selection activeCell="G43" sqref="G43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295</v>
      </c>
      <c r="C1" s="197"/>
    </row>
    <row r="2" spans="2:14" x14ac:dyDescent="0.2">
      <c r="B2" s="1" t="s">
        <v>371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-84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E79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22" customHeight="1" x14ac:dyDescent="0.2">
      <c r="B41" s="39" t="s">
        <v>296</v>
      </c>
      <c r="C41" s="58" t="d">
        <v>2025-03-10</v>
      </c>
      <c r="D41" s="16"/>
      <c r="E41" s="155"/>
      <c r="F41" s="21"/>
      <c r="G41" s="36">
        <v>-12</v>
      </c>
      <c r="H41" s="20"/>
      <c r="I41" s="36">
        <f>I13+G41</f>
        <v>-12</v>
      </c>
      <c r="J41" s="31" t="s">
        <v>10</v>
      </c>
      <c r="K41" s="36" t="e">
        <f>I41/SUM($E$11:E41)</f>
        <v>#DIV/0!</v>
      </c>
    </row>
    <row r="42" spans="2:11" ht="19" customHeight="1" x14ac:dyDescent="0.2">
      <c r="B42" s="39" t="s">
        <v>372</v>
      </c>
      <c r="C42" s="58" t="d">
        <v>2025-04-21</v>
      </c>
      <c r="D42" s="16"/>
      <c r="E42" s="155"/>
      <c r="F42" s="21"/>
      <c r="G42" s="36">
        <v>-20</v>
      </c>
      <c r="H42" s="17"/>
      <c r="I42" s="36">
        <f t="shared" ref="I42:I76" si="2">I41+G42</f>
        <v>-32</v>
      </c>
      <c r="J42" s="31" t="s">
        <v>10</v>
      </c>
      <c r="K42" s="36" t="e">
        <f>I42/SUM($E$11:E42)</f>
        <v>#DIV/0!</v>
      </c>
    </row>
    <row r="43" spans="2:11" ht="32" x14ac:dyDescent="0.2">
      <c r="B43" s="196" t="s">
        <v>670</v>
      </c>
      <c r="C43" s="58"/>
      <c r="D43" s="16"/>
      <c r="E43" s="155"/>
      <c r="G43" s="36">
        <f>-26*2</f>
        <v>-52</v>
      </c>
      <c r="H43" s="17"/>
      <c r="I43" s="36">
        <f t="shared" si="2"/>
        <v>-84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-84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-84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-84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-84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-84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-84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-84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-84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-84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-84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-84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-84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-84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-84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-84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-84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-84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-84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-84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-84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-84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-84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-84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-84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-84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-84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-84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-84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-84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-84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-84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-84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-84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-84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8:G8"/>
    <mergeCell ref="B1:C1"/>
  </mergeCells>
  <conditionalFormatting sqref="B77:B116">
    <cfRule type="expression" dxfId="488" priority="8" stopIfTrue="1">
      <formula>J77="assigned"</formula>
    </cfRule>
    <cfRule type="expression" dxfId="487" priority="9">
      <formula>J77="expired"</formula>
    </cfRule>
  </conditionalFormatting>
  <conditionalFormatting sqref="B77:B116">
    <cfRule type="expression" dxfId="486" priority="6">
      <formula>AND(ISNUMBER(SEARCH("call", B77)), J77="expired")</formula>
    </cfRule>
    <cfRule type="expression" dxfId="485" priority="7">
      <formula>AND(ISNUMBER(SEARCH("call", B77)), J77="assigned")</formula>
    </cfRule>
  </conditionalFormatting>
  <conditionalFormatting sqref="B41:B42 B44:B76">
    <cfRule type="expression" dxfId="484" priority="1" stopIfTrue="1">
      <formula>J41="ROLL"</formula>
    </cfRule>
    <cfRule type="expression" dxfId="483" priority="2" stopIfTrue="1">
      <formula>AND(ISNUMBER(SEARCH("call", B41)), J41="expired")</formula>
    </cfRule>
    <cfRule type="expression" dxfId="482" priority="3" stopIfTrue="1">
      <formula>AND(ISNUMBER(SEARCH("call", B41)), J41="assigned")</formula>
    </cfRule>
    <cfRule type="expression" dxfId="481" priority="4" stopIfTrue="1">
      <formula>J41="assigned"</formula>
    </cfRule>
    <cfRule type="expression" dxfId="480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C0DF-064F-0343-9DE9-EE41064F3541}">
  <sheetPr codeName="Sheet23"/>
  <dimension ref="B1:K98"/>
  <sheetViews>
    <sheetView zoomScale="130" zoomScaleNormal="130" workbookViewId="0">
      <selection activeCell="C26" sqref="C26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customWidth="1"/>
    <col min="4" max="4" width="12.83203125" customWidth="1"/>
    <col min="5" max="5" width="10.83203125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</cols>
  <sheetData>
    <row r="1" spans="2:11" x14ac:dyDescent="0.2">
      <c r="B1" s="20"/>
    </row>
    <row r="2" spans="2:11" x14ac:dyDescent="0.2">
      <c r="B2" s="1"/>
      <c r="C2" s="2"/>
      <c r="D2" s="2"/>
      <c r="E2" s="2"/>
      <c r="F2" s="3"/>
      <c r="G2" s="4"/>
    </row>
    <row r="3" spans="2:11" ht="19" x14ac:dyDescent="0.25">
      <c r="B3" s="5"/>
      <c r="C3" s="6"/>
      <c r="D3" s="6"/>
      <c r="E3" s="6"/>
      <c r="F3" s="7" t="s">
        <v>0</v>
      </c>
      <c r="G3" s="8">
        <f>IF(ISERROR(SUM(G35,G98)/G4),SUM(G35,G98),SUM(G35,G98)/G4)</f>
        <v>7.95</v>
      </c>
      <c r="H3" t="s">
        <v>1</v>
      </c>
      <c r="J3" s="30">
        <v>39.85</v>
      </c>
      <c r="K3" s="6"/>
    </row>
    <row r="4" spans="2:11" x14ac:dyDescent="0.2">
      <c r="B4" s="1"/>
      <c r="C4" s="2"/>
      <c r="D4" s="2"/>
      <c r="E4" s="2"/>
      <c r="F4" s="3" t="s">
        <v>2</v>
      </c>
      <c r="G4" s="9">
        <f>SUM(E11:E34)</f>
        <v>1</v>
      </c>
    </row>
    <row r="5" spans="2:11" ht="16" x14ac:dyDescent="0.2">
      <c r="B5" s="10" t="s">
        <v>196</v>
      </c>
      <c r="C5" s="2"/>
      <c r="D5" s="2"/>
      <c r="E5" s="2"/>
      <c r="F5" s="3"/>
      <c r="G5" s="4"/>
    </row>
    <row r="6" spans="2:11" x14ac:dyDescent="0.2">
      <c r="B6" s="15"/>
      <c r="C6" s="17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15"/>
      <c r="C7" s="17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x14ac:dyDescent="0.2">
      <c r="B9" s="12" t="s">
        <v>11</v>
      </c>
      <c r="C9" s="11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12"/>
      <c r="C10" s="11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15" t="s">
        <v>23</v>
      </c>
      <c r="C11" s="58" t="d">
        <v>2024-11-26</v>
      </c>
      <c r="D11" s="53"/>
      <c r="E11" s="17">
        <v>1</v>
      </c>
      <c r="F11" s="21">
        <v>16.3</v>
      </c>
      <c r="G11" s="127">
        <f>E11*F11</f>
        <v>16.3</v>
      </c>
      <c r="H11" s="20"/>
      <c r="I11" s="36">
        <f>G11</f>
        <v>16.3</v>
      </c>
      <c r="J11" s="31"/>
      <c r="K11" s="36">
        <f>I11/E11</f>
        <v>16.3</v>
      </c>
    </row>
    <row r="12" spans="2:11" x14ac:dyDescent="0.2">
      <c r="B12" s="15" t="s">
        <v>24</v>
      </c>
      <c r="C12" s="58" t="d">
        <v>2024-12-13</v>
      </c>
      <c r="D12" s="53"/>
      <c r="E12" s="17"/>
      <c r="F12" s="21"/>
      <c r="G12" s="127">
        <v>-1.34</v>
      </c>
      <c r="H12" s="20"/>
      <c r="I12" s="36">
        <f>I11+G12</f>
        <v>14.96</v>
      </c>
      <c r="J12" s="31"/>
      <c r="K12" s="36">
        <f>I12/SUM($E$11:E12)</f>
        <v>14.96</v>
      </c>
    </row>
    <row r="13" spans="2:11" x14ac:dyDescent="0.2">
      <c r="B13" s="15" t="s">
        <v>24</v>
      </c>
      <c r="C13" s="58" t="d">
        <v>2025-01-10</v>
      </c>
      <c r="D13" s="53"/>
      <c r="E13" s="17"/>
      <c r="F13" s="21"/>
      <c r="G13" s="127">
        <v>-0.83</v>
      </c>
      <c r="H13" s="20"/>
      <c r="I13" s="36">
        <f>I12+G13</f>
        <v>14.13</v>
      </c>
      <c r="J13" s="31"/>
      <c r="K13" s="36">
        <f>I13/SUM($E$11:E13)</f>
        <v>14.13</v>
      </c>
    </row>
    <row r="14" spans="2:11" x14ac:dyDescent="0.2">
      <c r="B14" s="15" t="s">
        <v>24</v>
      </c>
      <c r="C14" s="58" t="d">
        <v>2025-02-07</v>
      </c>
      <c r="D14" s="53"/>
      <c r="E14" s="17"/>
      <c r="F14" s="21"/>
      <c r="G14" s="127">
        <v>-1.05</v>
      </c>
      <c r="H14" s="20"/>
      <c r="I14" s="36">
        <f t="shared" ref="I14:I34" si="0">I13+G14</f>
        <v>13.08</v>
      </c>
      <c r="J14" s="31"/>
      <c r="K14" s="36">
        <f>I14/SUM($E$11:E14)</f>
        <v>13.08</v>
      </c>
    </row>
    <row r="15" spans="2:11" x14ac:dyDescent="0.2">
      <c r="B15" s="15" t="s">
        <v>24</v>
      </c>
      <c r="C15" s="58" t="d">
        <v>2025-03-07</v>
      </c>
      <c r="D15" s="53"/>
      <c r="E15" s="17"/>
      <c r="F15" s="21"/>
      <c r="G15" s="127">
        <v>-0.6</v>
      </c>
      <c r="H15" s="20"/>
      <c r="I15" s="36">
        <f t="shared" si="0"/>
        <v>12.48</v>
      </c>
      <c r="J15" s="31"/>
      <c r="K15" s="36">
        <f>I15/SUM($E$11:E15)</f>
        <v>12.48</v>
      </c>
    </row>
    <row r="16" spans="2:11" x14ac:dyDescent="0.2">
      <c r="B16" s="15" t="s">
        <v>24</v>
      </c>
      <c r="C16" s="58" t="d">
        <v>2025-04-04</v>
      </c>
      <c r="D16" s="53"/>
      <c r="E16" s="17"/>
      <c r="F16" s="21"/>
      <c r="G16" s="127">
        <v>-0.44</v>
      </c>
      <c r="H16" s="20"/>
      <c r="I16" s="36">
        <f t="shared" si="0"/>
        <v>12.040000000000001</v>
      </c>
      <c r="J16" s="31"/>
      <c r="K16" s="36">
        <f>I16/SUM($E$11:E16)</f>
        <v>12.040000000000001</v>
      </c>
    </row>
    <row r="17" spans="2:11" x14ac:dyDescent="0.2">
      <c r="B17" s="15" t="s">
        <v>24</v>
      </c>
      <c r="C17" s="58" t="d">
        <v>2025-05-02</v>
      </c>
      <c r="D17" s="53"/>
      <c r="E17" s="17"/>
      <c r="F17" s="21"/>
      <c r="G17" s="127">
        <v>-0.65</v>
      </c>
      <c r="H17" s="20"/>
      <c r="I17" s="36">
        <f t="shared" si="0"/>
        <v>11.39</v>
      </c>
      <c r="J17" s="31"/>
      <c r="K17" s="36">
        <f>I17/SUM($E$11:E17)</f>
        <v>11.39</v>
      </c>
    </row>
    <row r="18" spans="2:11" x14ac:dyDescent="0.2">
      <c r="B18" s="15" t="s">
        <v>24</v>
      </c>
      <c r="C18" s="58" t="d">
        <v>2025-05-30</v>
      </c>
      <c r="D18" s="53"/>
      <c r="E18" s="17"/>
      <c r="F18" s="21"/>
      <c r="G18" s="127">
        <v>-0.74</v>
      </c>
      <c r="H18" s="20"/>
      <c r="I18" s="36">
        <f t="shared" si="0"/>
        <v>10.65</v>
      </c>
      <c r="J18" s="31"/>
      <c r="K18" s="36">
        <f>I18/SUM($E$11:E18)</f>
        <v>10.65</v>
      </c>
    </row>
    <row r="19" spans="2:11" x14ac:dyDescent="0.2">
      <c r="B19" s="15" t="s">
        <v>24</v>
      </c>
      <c r="C19" s="58" t="d">
        <v>2025-06-27</v>
      </c>
      <c r="D19" s="53"/>
      <c r="E19" s="17"/>
      <c r="F19" s="21"/>
      <c r="G19" s="127">
        <v>-0.54</v>
      </c>
      <c r="H19" s="20"/>
      <c r="I19" s="36">
        <f t="shared" si="0"/>
        <v>10.11</v>
      </c>
      <c r="J19" s="31"/>
      <c r="K19" s="36">
        <f>I19/SUM($E$11:E19)</f>
        <v>10.11</v>
      </c>
    </row>
    <row r="20" spans="2:11" x14ac:dyDescent="0.2">
      <c r="B20" s="15" t="s">
        <v>24</v>
      </c>
      <c r="C20" s="58" t="d">
        <v>2025-07-27</v>
      </c>
      <c r="D20" s="53"/>
      <c r="E20" s="17"/>
      <c r="F20" s="21"/>
      <c r="G20" s="127">
        <v>-0.8</v>
      </c>
      <c r="H20" s="20"/>
      <c r="I20" s="36">
        <f t="shared" si="0"/>
        <v>9.3099999999999987</v>
      </c>
      <c r="J20" s="31"/>
      <c r="K20" s="36">
        <f>I20/SUM($E$11:E20)</f>
        <v>9.3099999999999987</v>
      </c>
    </row>
    <row r="21" spans="2:11" x14ac:dyDescent="0.2">
      <c r="B21" s="15" t="s">
        <v>24</v>
      </c>
      <c r="C21" s="58" t="d">
        <v>2025-08-22</v>
      </c>
      <c r="D21" s="53"/>
      <c r="E21" s="17"/>
      <c r="F21" s="21"/>
      <c r="G21" s="127">
        <v>-0.34</v>
      </c>
      <c r="H21" s="20"/>
      <c r="I21" s="36">
        <f t="shared" si="0"/>
        <v>8.9699999999999989</v>
      </c>
      <c r="J21" s="31"/>
      <c r="K21" s="36">
        <f>I21/SUM($E$11:E21)</f>
        <v>8.9699999999999989</v>
      </c>
    </row>
    <row r="22" spans="2:11" x14ac:dyDescent="0.2">
      <c r="B22" s="15" t="s">
        <v>24</v>
      </c>
      <c r="C22" s="58" t="d">
        <v>2025-09-19</v>
      </c>
      <c r="D22" s="53"/>
      <c r="E22" s="17"/>
      <c r="F22" s="21"/>
      <c r="G22" s="127">
        <v>-0.45</v>
      </c>
      <c r="H22" s="20"/>
      <c r="I22" s="36">
        <f t="shared" si="0"/>
        <v>8.52</v>
      </c>
      <c r="J22" s="31"/>
      <c r="K22" s="36">
        <f>I22/SUM($E$11:E22)</f>
        <v>8.52</v>
      </c>
    </row>
    <row r="23" spans="2:11" x14ac:dyDescent="0.2">
      <c r="B23" s="15"/>
      <c r="C23" s="58" t="d">
        <v>2025-10-17</v>
      </c>
      <c r="D23" s="53"/>
      <c r="E23" s="17"/>
      <c r="F23" s="21"/>
      <c r="G23" s="127">
        <v>-0.35</v>
      </c>
      <c r="H23" s="20"/>
      <c r="I23" s="36">
        <f t="shared" si="0"/>
        <v>8.17</v>
      </c>
      <c r="J23" s="31"/>
      <c r="K23" s="36">
        <f>I23/SUM($E$11:E23)</f>
        <v>8.17</v>
      </c>
    </row>
    <row r="24" spans="2:11" x14ac:dyDescent="0.2">
      <c r="B24" s="15"/>
      <c r="C24" s="58" t="d">
        <v>2025-10-24</v>
      </c>
      <c r="D24" s="53"/>
      <c r="E24" s="17"/>
      <c r="F24" s="21"/>
      <c r="G24" s="127">
        <v>-0.09</v>
      </c>
      <c r="H24" s="20"/>
      <c r="I24" s="36">
        <f t="shared" si="0"/>
        <v>8.08</v>
      </c>
      <c r="J24" s="31"/>
      <c r="K24" s="36">
        <f>I24/SUM($E$11:E24)</f>
        <v>8.08</v>
      </c>
    </row>
    <row r="25" spans="2:11" x14ac:dyDescent="0.2">
      <c r="B25" s="15"/>
      <c r="C25" s="58" t="d">
        <v>2025-10-31</v>
      </c>
      <c r="D25" s="53"/>
      <c r="E25" s="17"/>
      <c r="F25" s="21"/>
      <c r="G25" s="127">
        <v>-0.13</v>
      </c>
      <c r="H25" s="20"/>
      <c r="I25" s="36">
        <f t="shared" si="0"/>
        <v>7.95</v>
      </c>
      <c r="J25" s="31"/>
      <c r="K25" s="36">
        <f>I25/SUM($E$11:E25)</f>
        <v>7.95</v>
      </c>
    </row>
    <row r="26" spans="2:11" x14ac:dyDescent="0.2">
      <c r="B26" s="15"/>
      <c r="C26" s="58"/>
      <c r="D26" s="53"/>
      <c r="E26" s="17"/>
      <c r="F26" s="21"/>
      <c r="G26" s="127">
        <v>0</v>
      </c>
      <c r="H26" s="20"/>
      <c r="I26" s="36">
        <f t="shared" si="0"/>
        <v>7.95</v>
      </c>
      <c r="J26" s="31"/>
      <c r="K26" s="36">
        <f>I26/SUM($E$11:E26)</f>
        <v>7.95</v>
      </c>
    </row>
    <row r="27" spans="2:11" x14ac:dyDescent="0.2">
      <c r="B27" s="15"/>
      <c r="C27" s="58"/>
      <c r="D27" s="53"/>
      <c r="E27" s="17"/>
      <c r="F27" s="21"/>
      <c r="G27" s="127">
        <v>0</v>
      </c>
      <c r="H27" s="20"/>
      <c r="I27" s="36">
        <f t="shared" si="0"/>
        <v>7.95</v>
      </c>
      <c r="J27" s="31"/>
      <c r="K27" s="36">
        <f>I27/SUM($E$11:E27)</f>
        <v>7.95</v>
      </c>
    </row>
    <row r="28" spans="2:11" x14ac:dyDescent="0.2">
      <c r="B28" s="15"/>
      <c r="C28" s="58"/>
      <c r="D28" s="53"/>
      <c r="E28" s="17"/>
      <c r="F28" s="21"/>
      <c r="G28" s="127">
        <v>0</v>
      </c>
      <c r="H28" s="20"/>
      <c r="I28" s="36">
        <f t="shared" si="0"/>
        <v>7.95</v>
      </c>
      <c r="J28" s="31"/>
      <c r="K28" s="36">
        <f>I28/SUM($E$11:E28)</f>
        <v>7.95</v>
      </c>
    </row>
    <row r="29" spans="2:11" x14ac:dyDescent="0.2">
      <c r="B29" s="15"/>
      <c r="C29" s="58"/>
      <c r="D29" s="53"/>
      <c r="E29" s="17"/>
      <c r="F29" s="21"/>
      <c r="G29" s="127">
        <v>0</v>
      </c>
      <c r="H29" s="20"/>
      <c r="I29" s="36">
        <f t="shared" si="0"/>
        <v>7.95</v>
      </c>
      <c r="J29" s="31"/>
      <c r="K29" s="36">
        <f>I29/SUM($E$11:E29)</f>
        <v>7.95</v>
      </c>
    </row>
    <row r="30" spans="2:11" x14ac:dyDescent="0.2">
      <c r="B30" s="15"/>
      <c r="C30" s="58"/>
      <c r="D30" s="53"/>
      <c r="E30" s="17"/>
      <c r="F30" s="21"/>
      <c r="G30" s="127">
        <v>0</v>
      </c>
      <c r="H30" s="20"/>
      <c r="I30" s="36">
        <f t="shared" si="0"/>
        <v>7.95</v>
      </c>
      <c r="J30" s="31"/>
      <c r="K30" s="36">
        <f>I30/SUM($E$11:E30)</f>
        <v>7.95</v>
      </c>
    </row>
    <row r="31" spans="2:11" x14ac:dyDescent="0.2">
      <c r="B31" s="15"/>
      <c r="C31" s="58"/>
      <c r="D31" s="53"/>
      <c r="E31" s="17"/>
      <c r="F31" s="21"/>
      <c r="G31" s="127">
        <v>0</v>
      </c>
      <c r="H31" s="20"/>
      <c r="I31" s="36">
        <f t="shared" si="0"/>
        <v>7.95</v>
      </c>
      <c r="J31" s="31"/>
      <c r="K31" s="36">
        <f>I31/SUM($E$11:E31)</f>
        <v>7.95</v>
      </c>
    </row>
    <row r="32" spans="2:11" x14ac:dyDescent="0.2">
      <c r="B32" s="15"/>
      <c r="C32" s="58"/>
      <c r="D32" s="53"/>
      <c r="E32" s="17"/>
      <c r="F32" s="21"/>
      <c r="G32" s="127">
        <v>0</v>
      </c>
      <c r="H32" s="20"/>
      <c r="I32" s="36">
        <f t="shared" si="0"/>
        <v>7.95</v>
      </c>
      <c r="J32" s="31"/>
      <c r="K32" s="36">
        <f>I32/SUM($E$11:E32)</f>
        <v>7.95</v>
      </c>
    </row>
    <row r="33" spans="2:11" x14ac:dyDescent="0.2">
      <c r="B33" s="15"/>
      <c r="C33" s="58"/>
      <c r="D33" s="53"/>
      <c r="E33" s="17"/>
      <c r="F33" s="21"/>
      <c r="G33" s="127">
        <v>0</v>
      </c>
      <c r="H33" s="20"/>
      <c r="I33" s="36">
        <f t="shared" si="0"/>
        <v>7.95</v>
      </c>
      <c r="J33" s="31"/>
      <c r="K33" s="36">
        <f>I33/SUM($E$11:E33)</f>
        <v>7.95</v>
      </c>
    </row>
    <row r="34" spans="2:11" x14ac:dyDescent="0.2">
      <c r="B34" s="15"/>
      <c r="C34" s="58"/>
      <c r="D34" s="53"/>
      <c r="E34" s="17"/>
      <c r="F34" s="21"/>
      <c r="G34" s="127">
        <v>0</v>
      </c>
      <c r="H34" s="20"/>
      <c r="I34" s="36">
        <f t="shared" si="0"/>
        <v>7.95</v>
      </c>
      <c r="J34" s="31"/>
      <c r="K34" s="36">
        <f>I34/SUM($E$11:E34)</f>
        <v>7.95</v>
      </c>
    </row>
    <row r="35" spans="2:11" x14ac:dyDescent="0.2">
      <c r="B35" s="15"/>
      <c r="C35" s="58"/>
      <c r="D35" s="53"/>
      <c r="E35" s="17"/>
      <c r="F35" s="18"/>
      <c r="G35" s="163">
        <f>SUM(G11:G34)</f>
        <v>7.95</v>
      </c>
      <c r="H35" s="20"/>
      <c r="I35" s="19"/>
      <c r="J35" s="31"/>
      <c r="K35" s="163">
        <f>SUM(G11:G21)/SUM(E11:E34)</f>
        <v>8.9699999999999989</v>
      </c>
    </row>
    <row r="36" spans="2:11" ht="6" customHeight="1" x14ac:dyDescent="0.2">
      <c r="B36" s="15"/>
      <c r="C36" s="58"/>
      <c r="D36" s="53"/>
      <c r="E36" s="17"/>
      <c r="F36" s="18"/>
      <c r="G36" s="19"/>
      <c r="H36" s="20"/>
      <c r="I36" s="20"/>
      <c r="J36" s="31"/>
      <c r="K36" s="17"/>
    </row>
    <row r="37" spans="2:11" ht="6.5" customHeight="1" x14ac:dyDescent="0.2">
      <c r="B37" s="15"/>
      <c r="C37" s="58"/>
      <c r="D37" s="53"/>
      <c r="E37" s="17"/>
      <c r="F37" s="18"/>
      <c r="G37" s="19"/>
      <c r="H37" s="20"/>
      <c r="I37" s="20"/>
      <c r="J37" s="31"/>
      <c r="K37" s="17"/>
    </row>
    <row r="38" spans="2:11" x14ac:dyDescent="0.2">
      <c r="B38" s="39"/>
      <c r="C38" s="58"/>
      <c r="D38" s="53"/>
      <c r="E38" s="17"/>
      <c r="F38" s="21"/>
      <c r="G38" s="36">
        <v>0</v>
      </c>
      <c r="H38" s="20"/>
      <c r="I38" s="36">
        <f>I13+G38</f>
        <v>14.13</v>
      </c>
      <c r="J38" s="31"/>
      <c r="K38" s="36">
        <f>I38/SUM($E$11:E38)</f>
        <v>14.13</v>
      </c>
    </row>
    <row r="39" spans="2:11" x14ac:dyDescent="0.2">
      <c r="B39" s="39"/>
      <c r="C39" s="58"/>
      <c r="D39" s="53"/>
      <c r="E39" s="17"/>
      <c r="F39" s="21"/>
      <c r="G39" s="36">
        <v>0</v>
      </c>
      <c r="H39" s="17"/>
      <c r="I39" s="36">
        <f>I38+G39</f>
        <v>14.13</v>
      </c>
      <c r="J39" s="31"/>
      <c r="K39" s="36">
        <f>I39/SUM($E$11:E39)</f>
        <v>14.13</v>
      </c>
    </row>
    <row r="40" spans="2:11" ht="16" customHeight="1" x14ac:dyDescent="0.2">
      <c r="B40" s="39"/>
      <c r="C40" s="58"/>
      <c r="D40" s="53"/>
      <c r="E40" s="17"/>
      <c r="G40" s="36">
        <v>0</v>
      </c>
      <c r="H40" s="17"/>
      <c r="I40" s="36">
        <f t="shared" ref="I40:I95" si="1">I39+G40</f>
        <v>14.13</v>
      </c>
      <c r="J40" s="31"/>
      <c r="K40" s="36">
        <f>I40/SUM($E$11:E40)</f>
        <v>14.13</v>
      </c>
    </row>
    <row r="41" spans="2:11" ht="16" customHeight="1" x14ac:dyDescent="0.2">
      <c r="B41" s="39"/>
      <c r="C41" s="58"/>
      <c r="D41" s="53"/>
      <c r="E41" s="17"/>
      <c r="F41" s="18"/>
      <c r="G41" s="36">
        <v>0</v>
      </c>
      <c r="H41" s="17"/>
      <c r="I41" s="36">
        <f t="shared" si="1"/>
        <v>14.13</v>
      </c>
      <c r="J41" s="31"/>
      <c r="K41" s="36">
        <f>I41/SUM($E$11:E41)</f>
        <v>14.13</v>
      </c>
    </row>
    <row r="42" spans="2:11" x14ac:dyDescent="0.2">
      <c r="B42" s="39"/>
      <c r="C42" s="58"/>
      <c r="D42" s="53"/>
      <c r="E42" s="17"/>
      <c r="F42" s="18"/>
      <c r="G42" s="36">
        <v>0</v>
      </c>
      <c r="H42" s="17"/>
      <c r="I42" s="36">
        <f t="shared" si="1"/>
        <v>14.13</v>
      </c>
      <c r="J42" s="31"/>
      <c r="K42" s="36">
        <f>I42/SUM($E$11:E42)</f>
        <v>14.13</v>
      </c>
    </row>
    <row r="43" spans="2:11" x14ac:dyDescent="0.2">
      <c r="B43" s="39"/>
      <c r="C43" s="58"/>
      <c r="D43" s="53"/>
      <c r="E43" s="17"/>
      <c r="F43" s="18"/>
      <c r="G43" s="36">
        <v>0</v>
      </c>
      <c r="H43" s="17"/>
      <c r="I43" s="36">
        <f t="shared" si="1"/>
        <v>14.13</v>
      </c>
      <c r="J43" s="31"/>
      <c r="K43" s="36">
        <f>I43/SUM($E$11:E43)</f>
        <v>14.13</v>
      </c>
    </row>
    <row r="44" spans="2:11" x14ac:dyDescent="0.2">
      <c r="B44" s="39"/>
      <c r="C44" s="58"/>
      <c r="D44" s="53"/>
      <c r="E44" s="17"/>
      <c r="F44" s="18"/>
      <c r="G44" s="36">
        <v>0</v>
      </c>
      <c r="H44" s="17"/>
      <c r="I44" s="36">
        <f t="shared" si="1"/>
        <v>14.13</v>
      </c>
      <c r="J44" s="31"/>
      <c r="K44" s="36">
        <f>I44/SUM($E$11:E44)</f>
        <v>14.13</v>
      </c>
    </row>
    <row r="45" spans="2:11" x14ac:dyDescent="0.2">
      <c r="B45" s="39"/>
      <c r="C45" s="58"/>
      <c r="D45" s="53"/>
      <c r="E45" s="17"/>
      <c r="F45" s="18"/>
      <c r="G45" s="36">
        <v>0</v>
      </c>
      <c r="H45" s="17"/>
      <c r="I45" s="36">
        <f t="shared" si="1"/>
        <v>14.13</v>
      </c>
      <c r="J45" s="31"/>
      <c r="K45" s="36">
        <f>I45/SUM($E$11:E45)</f>
        <v>14.13</v>
      </c>
    </row>
    <row r="46" spans="2:11" x14ac:dyDescent="0.2">
      <c r="B46" s="39"/>
      <c r="C46" s="58"/>
      <c r="D46" s="53"/>
      <c r="E46" s="17"/>
      <c r="F46" s="18"/>
      <c r="G46" s="36">
        <v>0</v>
      </c>
      <c r="H46" s="17"/>
      <c r="I46" s="36">
        <f t="shared" si="1"/>
        <v>14.13</v>
      </c>
      <c r="J46" s="31"/>
      <c r="K46" s="36">
        <f>I46/SUM($E$11:E46)</f>
        <v>14.13</v>
      </c>
    </row>
    <row r="47" spans="2:11" x14ac:dyDescent="0.2">
      <c r="B47" s="39"/>
      <c r="C47" s="58"/>
      <c r="D47" s="53"/>
      <c r="E47" s="17"/>
      <c r="F47" s="18"/>
      <c r="G47" s="36">
        <v>0</v>
      </c>
      <c r="H47" s="17"/>
      <c r="I47" s="36">
        <f t="shared" si="1"/>
        <v>14.13</v>
      </c>
      <c r="J47" s="31"/>
      <c r="K47" s="36">
        <f>I47/SUM($E$11:E47)</f>
        <v>14.13</v>
      </c>
    </row>
    <row r="48" spans="2:11" x14ac:dyDescent="0.2">
      <c r="B48" s="39"/>
      <c r="C48" s="58"/>
      <c r="D48" s="53"/>
      <c r="E48" s="17"/>
      <c r="F48" s="18"/>
      <c r="G48" s="36">
        <v>0</v>
      </c>
      <c r="H48" s="17"/>
      <c r="I48" s="36">
        <f t="shared" si="1"/>
        <v>14.13</v>
      </c>
      <c r="J48" s="31"/>
      <c r="K48" s="36">
        <f>I48/SUM($E$11:E48)</f>
        <v>14.13</v>
      </c>
    </row>
    <row r="49" spans="2:11" x14ac:dyDescent="0.2">
      <c r="B49" s="39"/>
      <c r="C49" s="58"/>
      <c r="D49" s="53"/>
      <c r="E49" s="17"/>
      <c r="F49" s="18"/>
      <c r="G49" s="36">
        <v>0</v>
      </c>
      <c r="H49" s="17"/>
      <c r="I49" s="36">
        <f t="shared" si="1"/>
        <v>14.13</v>
      </c>
      <c r="J49" s="31"/>
      <c r="K49" s="36">
        <f>I49/SUM($E$11:E49)</f>
        <v>14.13</v>
      </c>
    </row>
    <row r="50" spans="2:11" x14ac:dyDescent="0.2">
      <c r="B50" s="39"/>
      <c r="C50" s="58"/>
      <c r="D50" s="53"/>
      <c r="E50" s="17"/>
      <c r="F50" s="18"/>
      <c r="G50" s="36">
        <v>0</v>
      </c>
      <c r="H50" s="17"/>
      <c r="I50" s="36">
        <f t="shared" si="1"/>
        <v>14.13</v>
      </c>
      <c r="J50" s="31"/>
      <c r="K50" s="36">
        <f>I50/SUM($E$11:E50)</f>
        <v>14.13</v>
      </c>
    </row>
    <row r="51" spans="2:11" x14ac:dyDescent="0.2">
      <c r="B51" s="39"/>
      <c r="C51" s="58"/>
      <c r="D51" s="53"/>
      <c r="E51" s="17"/>
      <c r="F51" s="18"/>
      <c r="G51" s="36">
        <v>0</v>
      </c>
      <c r="H51" s="17"/>
      <c r="I51" s="36">
        <f t="shared" si="1"/>
        <v>14.13</v>
      </c>
      <c r="J51" s="31"/>
      <c r="K51" s="36">
        <f>I51/SUM($E$11:E51)</f>
        <v>14.13</v>
      </c>
    </row>
    <row r="52" spans="2:11" x14ac:dyDescent="0.2">
      <c r="B52" s="39"/>
      <c r="C52" s="58"/>
      <c r="D52" s="53"/>
      <c r="E52" s="17"/>
      <c r="F52" s="18"/>
      <c r="G52" s="36">
        <v>0</v>
      </c>
      <c r="H52" s="17"/>
      <c r="I52" s="36">
        <f t="shared" si="1"/>
        <v>14.13</v>
      </c>
      <c r="J52" s="31"/>
      <c r="K52" s="36">
        <f>I52/SUM($E$11:E52)</f>
        <v>14.13</v>
      </c>
    </row>
    <row r="53" spans="2:11" x14ac:dyDescent="0.2">
      <c r="B53" s="39"/>
      <c r="C53" s="58"/>
      <c r="D53" s="53"/>
      <c r="E53" s="17"/>
      <c r="F53" s="18"/>
      <c r="G53" s="36">
        <v>0</v>
      </c>
      <c r="H53" s="17"/>
      <c r="I53" s="36">
        <f t="shared" si="1"/>
        <v>14.13</v>
      </c>
      <c r="J53" s="31"/>
      <c r="K53" s="36">
        <f>I53/SUM($E$11:E53)</f>
        <v>14.13</v>
      </c>
    </row>
    <row r="54" spans="2:11" x14ac:dyDescent="0.2">
      <c r="B54" s="39"/>
      <c r="C54" s="58"/>
      <c r="D54" s="16"/>
      <c r="E54" s="17"/>
      <c r="F54" s="18"/>
      <c r="G54" s="36">
        <v>0</v>
      </c>
      <c r="H54" s="17"/>
      <c r="I54" s="36">
        <f t="shared" si="1"/>
        <v>14.13</v>
      </c>
      <c r="J54" s="31"/>
      <c r="K54" s="36">
        <f>I54/SUM($E$11:E54)</f>
        <v>14.13</v>
      </c>
    </row>
    <row r="55" spans="2:11" x14ac:dyDescent="0.2">
      <c r="B55" s="39"/>
      <c r="C55" s="58"/>
      <c r="D55" s="16"/>
      <c r="E55" s="17"/>
      <c r="F55" s="18"/>
      <c r="G55" s="36">
        <v>0</v>
      </c>
      <c r="H55" s="17"/>
      <c r="I55" s="36">
        <f t="shared" si="1"/>
        <v>14.13</v>
      </c>
      <c r="J55" s="31"/>
      <c r="K55" s="36">
        <f>I55/SUM($E$11:E55)</f>
        <v>14.13</v>
      </c>
    </row>
    <row r="56" spans="2:11" x14ac:dyDescent="0.2">
      <c r="B56" s="68"/>
      <c r="C56" s="58"/>
      <c r="D56" s="16"/>
      <c r="E56" s="17"/>
      <c r="F56" s="18"/>
      <c r="G56" s="36">
        <v>0</v>
      </c>
      <c r="H56" s="17"/>
      <c r="I56" s="36">
        <f t="shared" si="1"/>
        <v>14.13</v>
      </c>
      <c r="J56" s="31"/>
      <c r="K56" s="36">
        <f>I56/SUM($E$11:E56)</f>
        <v>14.13</v>
      </c>
    </row>
    <row r="57" spans="2:11" x14ac:dyDescent="0.2">
      <c r="B57" s="68"/>
      <c r="C57" s="58"/>
      <c r="D57" s="16"/>
      <c r="E57" s="17"/>
      <c r="F57" s="18"/>
      <c r="G57" s="36">
        <v>0</v>
      </c>
      <c r="H57" s="20"/>
      <c r="I57" s="36">
        <f t="shared" si="1"/>
        <v>14.13</v>
      </c>
      <c r="J57" s="31"/>
      <c r="K57" s="36">
        <f>I57/SUM($E$11:E57)</f>
        <v>14.13</v>
      </c>
    </row>
    <row r="58" spans="2:11" x14ac:dyDescent="0.2">
      <c r="B58" s="68"/>
      <c r="C58" s="58"/>
      <c r="D58" s="16"/>
      <c r="E58" s="17"/>
      <c r="F58" s="18"/>
      <c r="G58" s="36">
        <v>0</v>
      </c>
      <c r="H58" s="20"/>
      <c r="I58" s="36">
        <f t="shared" si="1"/>
        <v>14.13</v>
      </c>
      <c r="J58" s="31"/>
      <c r="K58" s="36">
        <f>I58/SUM($E$11:E58)</f>
        <v>14.13</v>
      </c>
    </row>
    <row r="59" spans="2:11" x14ac:dyDescent="0.2">
      <c r="B59" s="68"/>
      <c r="C59" s="58"/>
      <c r="D59" s="16"/>
      <c r="E59" s="17"/>
      <c r="F59" s="18"/>
      <c r="G59" s="36">
        <v>0</v>
      </c>
      <c r="H59" s="20"/>
      <c r="I59" s="36">
        <f t="shared" si="1"/>
        <v>14.13</v>
      </c>
      <c r="J59" s="31"/>
      <c r="K59" s="36">
        <f>I59/SUM($E$11:E59)</f>
        <v>14.13</v>
      </c>
    </row>
    <row r="60" spans="2:11" x14ac:dyDescent="0.2">
      <c r="B60" s="68"/>
      <c r="C60" s="58"/>
      <c r="D60" s="16"/>
      <c r="E60" s="17"/>
      <c r="F60" s="18"/>
      <c r="G60" s="36">
        <v>0</v>
      </c>
      <c r="H60" s="20"/>
      <c r="I60" s="36">
        <f t="shared" si="1"/>
        <v>14.13</v>
      </c>
      <c r="J60" s="31"/>
      <c r="K60" s="36">
        <f>I60/SUM($E$11:E60)</f>
        <v>14.13</v>
      </c>
    </row>
    <row r="61" spans="2:11" x14ac:dyDescent="0.2">
      <c r="B61" s="68"/>
      <c r="C61" s="58"/>
      <c r="D61" s="16"/>
      <c r="E61" s="17"/>
      <c r="F61" s="18"/>
      <c r="G61" s="36">
        <v>0</v>
      </c>
      <c r="H61" s="20"/>
      <c r="I61" s="36">
        <f t="shared" si="1"/>
        <v>14.13</v>
      </c>
      <c r="J61" s="31"/>
      <c r="K61" s="36">
        <f>I61/SUM($E$11:E61)</f>
        <v>14.13</v>
      </c>
    </row>
    <row r="62" spans="2:11" x14ac:dyDescent="0.2">
      <c r="B62" s="68"/>
      <c r="C62" s="58"/>
      <c r="D62" s="16"/>
      <c r="E62" s="17"/>
      <c r="F62" s="18"/>
      <c r="G62" s="36">
        <v>0</v>
      </c>
      <c r="H62" s="20"/>
      <c r="I62" s="36">
        <f t="shared" si="1"/>
        <v>14.13</v>
      </c>
      <c r="J62" s="31"/>
      <c r="K62" s="36">
        <f>I62/SUM($E$11:E62)</f>
        <v>14.13</v>
      </c>
    </row>
    <row r="63" spans="2:11" x14ac:dyDescent="0.2">
      <c r="B63" s="68"/>
      <c r="C63" s="58"/>
      <c r="D63" s="16"/>
      <c r="E63" s="17"/>
      <c r="F63" s="18"/>
      <c r="G63" s="36">
        <v>0</v>
      </c>
      <c r="H63" s="20"/>
      <c r="I63" s="36">
        <f t="shared" si="1"/>
        <v>14.13</v>
      </c>
      <c r="J63" s="31"/>
      <c r="K63" s="36">
        <f>I63/SUM($E$11:E63)</f>
        <v>14.13</v>
      </c>
    </row>
    <row r="64" spans="2:11" x14ac:dyDescent="0.2">
      <c r="B64" s="68"/>
      <c r="C64" s="58"/>
      <c r="D64" s="16"/>
      <c r="E64" s="17"/>
      <c r="F64" s="18"/>
      <c r="G64" s="36">
        <v>0</v>
      </c>
      <c r="H64" s="20"/>
      <c r="I64" s="36">
        <f t="shared" si="1"/>
        <v>14.13</v>
      </c>
      <c r="J64" s="31"/>
      <c r="K64" s="36">
        <f>I64/SUM($E$11:E64)</f>
        <v>14.13</v>
      </c>
    </row>
    <row r="65" spans="2:11" x14ac:dyDescent="0.2">
      <c r="B65" s="68"/>
      <c r="C65" s="58"/>
      <c r="D65" s="16"/>
      <c r="E65" s="17"/>
      <c r="F65" s="18"/>
      <c r="G65" s="36">
        <v>0</v>
      </c>
      <c r="H65" s="20"/>
      <c r="I65" s="36">
        <f t="shared" si="1"/>
        <v>14.13</v>
      </c>
      <c r="J65" s="31"/>
      <c r="K65" s="36">
        <f>I65/SUM($E$11:E65)</f>
        <v>14.13</v>
      </c>
    </row>
    <row r="66" spans="2:11" x14ac:dyDescent="0.2">
      <c r="B66" s="68"/>
      <c r="C66" s="58"/>
      <c r="D66" s="16"/>
      <c r="E66" s="17"/>
      <c r="F66" s="18"/>
      <c r="G66" s="36">
        <v>0</v>
      </c>
      <c r="H66" s="20"/>
      <c r="I66" s="36">
        <f t="shared" si="1"/>
        <v>14.13</v>
      </c>
      <c r="J66" s="31"/>
      <c r="K66" s="36">
        <f>I66/SUM($E$11:E66)</f>
        <v>14.13</v>
      </c>
    </row>
    <row r="67" spans="2:11" x14ac:dyDescent="0.2">
      <c r="B67" s="68"/>
      <c r="C67" s="58"/>
      <c r="D67" s="16"/>
      <c r="E67" s="17"/>
      <c r="F67" s="18"/>
      <c r="G67" s="36">
        <v>0</v>
      </c>
      <c r="H67" s="20"/>
      <c r="I67" s="36">
        <f t="shared" si="1"/>
        <v>14.13</v>
      </c>
      <c r="J67" s="31"/>
      <c r="K67" s="36">
        <f>I67/SUM($E$11:E67)</f>
        <v>14.13</v>
      </c>
    </row>
    <row r="68" spans="2:11" x14ac:dyDescent="0.2">
      <c r="B68" s="68"/>
      <c r="C68" s="58"/>
      <c r="D68" s="16"/>
      <c r="E68" s="17"/>
      <c r="F68" s="18"/>
      <c r="G68" s="36">
        <v>0</v>
      </c>
      <c r="H68" s="20"/>
      <c r="I68" s="36">
        <f t="shared" si="1"/>
        <v>14.13</v>
      </c>
      <c r="J68" s="31"/>
      <c r="K68" s="36">
        <f>I68/SUM($E$11:E68)</f>
        <v>14.13</v>
      </c>
    </row>
    <row r="69" spans="2:11" x14ac:dyDescent="0.2">
      <c r="B69" s="68"/>
      <c r="C69" s="58"/>
      <c r="D69" s="16"/>
      <c r="E69" s="17"/>
      <c r="F69" s="18"/>
      <c r="G69" s="36">
        <v>0</v>
      </c>
      <c r="H69" s="20"/>
      <c r="I69" s="36">
        <f t="shared" si="1"/>
        <v>14.13</v>
      </c>
      <c r="J69" s="31"/>
      <c r="K69" s="36">
        <f>I69/SUM($E$11:E69)</f>
        <v>14.13</v>
      </c>
    </row>
    <row r="70" spans="2:11" x14ac:dyDescent="0.2">
      <c r="B70" s="68"/>
      <c r="C70" s="58"/>
      <c r="D70" s="16"/>
      <c r="E70" s="17"/>
      <c r="F70" s="18"/>
      <c r="G70" s="36">
        <v>0</v>
      </c>
      <c r="H70" s="20"/>
      <c r="I70" s="36">
        <f t="shared" si="1"/>
        <v>14.13</v>
      </c>
      <c r="J70" s="31"/>
      <c r="K70" s="36">
        <f>I70/SUM($E$11:E70)</f>
        <v>14.13</v>
      </c>
    </row>
    <row r="71" spans="2:11" x14ac:dyDescent="0.2">
      <c r="B71" s="68"/>
      <c r="C71" s="58"/>
      <c r="D71" s="16"/>
      <c r="E71" s="17"/>
      <c r="F71" s="18"/>
      <c r="G71" s="36">
        <v>0</v>
      </c>
      <c r="H71" s="20"/>
      <c r="I71" s="36">
        <f t="shared" si="1"/>
        <v>14.13</v>
      </c>
      <c r="J71" s="31"/>
      <c r="K71" s="36">
        <f>I71/SUM($E$11:E71)</f>
        <v>14.13</v>
      </c>
    </row>
    <row r="72" spans="2:11" x14ac:dyDescent="0.2">
      <c r="B72" s="68"/>
      <c r="C72" s="58"/>
      <c r="D72" s="16"/>
      <c r="E72" s="17"/>
      <c r="F72" s="18"/>
      <c r="G72" s="36">
        <v>0</v>
      </c>
      <c r="H72" s="20"/>
      <c r="I72" s="36">
        <f t="shared" si="1"/>
        <v>14.13</v>
      </c>
      <c r="J72" s="31"/>
      <c r="K72" s="36">
        <f>I72/SUM($E$11:E72)</f>
        <v>14.13</v>
      </c>
    </row>
    <row r="73" spans="2:11" x14ac:dyDescent="0.2">
      <c r="B73" s="68"/>
      <c r="C73" s="58"/>
      <c r="D73" s="16"/>
      <c r="E73" s="17"/>
      <c r="F73" s="18"/>
      <c r="G73" s="36">
        <v>0</v>
      </c>
      <c r="H73" s="20"/>
      <c r="I73" s="36">
        <f t="shared" si="1"/>
        <v>14.13</v>
      </c>
      <c r="J73" s="31"/>
      <c r="K73" s="36">
        <f>I73/SUM($E$11:E73)</f>
        <v>14.13</v>
      </c>
    </row>
    <row r="74" spans="2:11" x14ac:dyDescent="0.2">
      <c r="B74" s="68"/>
      <c r="C74" s="58"/>
      <c r="D74" s="16"/>
      <c r="E74" s="17"/>
      <c r="F74" s="18"/>
      <c r="G74" s="36">
        <v>0</v>
      </c>
      <c r="H74" s="20"/>
      <c r="I74" s="36">
        <f t="shared" si="1"/>
        <v>14.13</v>
      </c>
      <c r="J74" s="31"/>
      <c r="K74" s="36">
        <f>I74/SUM($E$11:E74)</f>
        <v>14.13</v>
      </c>
    </row>
    <row r="75" spans="2:11" x14ac:dyDescent="0.2">
      <c r="B75" s="68"/>
      <c r="C75" s="58"/>
      <c r="D75" s="16"/>
      <c r="E75" s="17"/>
      <c r="F75" s="18"/>
      <c r="G75" s="36">
        <v>0</v>
      </c>
      <c r="H75" s="20"/>
      <c r="I75" s="36">
        <f t="shared" si="1"/>
        <v>14.13</v>
      </c>
      <c r="J75" s="31"/>
      <c r="K75" s="36">
        <f>I75/SUM($E$11:E75)</f>
        <v>14.13</v>
      </c>
    </row>
    <row r="76" spans="2:11" x14ac:dyDescent="0.2">
      <c r="B76" s="68"/>
      <c r="C76" s="58"/>
      <c r="D76" s="16"/>
      <c r="E76" s="17"/>
      <c r="F76" s="18"/>
      <c r="G76" s="36">
        <v>0</v>
      </c>
      <c r="H76" s="20"/>
      <c r="I76" s="36">
        <f t="shared" si="1"/>
        <v>14.13</v>
      </c>
      <c r="J76" s="31"/>
      <c r="K76" s="36">
        <f>I76/SUM($E$11:E76)</f>
        <v>14.13</v>
      </c>
    </row>
    <row r="77" spans="2:11" x14ac:dyDescent="0.2">
      <c r="B77" s="68"/>
      <c r="C77" s="58"/>
      <c r="D77" s="16"/>
      <c r="E77" s="17"/>
      <c r="F77" s="18"/>
      <c r="G77" s="36">
        <v>0</v>
      </c>
      <c r="H77" s="20"/>
      <c r="I77" s="36">
        <f t="shared" si="1"/>
        <v>14.13</v>
      </c>
      <c r="J77" s="31"/>
      <c r="K77" s="36">
        <f>I77/SUM($E$11:E77)</f>
        <v>14.13</v>
      </c>
    </row>
    <row r="78" spans="2:11" x14ac:dyDescent="0.2">
      <c r="B78" s="68"/>
      <c r="C78" s="58"/>
      <c r="D78" s="16"/>
      <c r="E78" s="17"/>
      <c r="F78" s="18"/>
      <c r="G78" s="36">
        <v>0</v>
      </c>
      <c r="H78" s="20"/>
      <c r="I78" s="36">
        <f t="shared" si="1"/>
        <v>14.13</v>
      </c>
      <c r="J78" s="31"/>
      <c r="K78" s="36">
        <f>I78/SUM($E$11:E78)</f>
        <v>14.13</v>
      </c>
    </row>
    <row r="79" spans="2:11" x14ac:dyDescent="0.2">
      <c r="B79" s="68"/>
      <c r="C79" s="58"/>
      <c r="D79" s="16"/>
      <c r="E79" s="17"/>
      <c r="F79" s="18"/>
      <c r="G79" s="36">
        <v>0</v>
      </c>
      <c r="H79" s="20"/>
      <c r="I79" s="36">
        <f t="shared" si="1"/>
        <v>14.13</v>
      </c>
      <c r="J79" s="31"/>
      <c r="K79" s="36">
        <f>I79/SUM($E$11:E79)</f>
        <v>14.13</v>
      </c>
    </row>
    <row r="80" spans="2:11" x14ac:dyDescent="0.2">
      <c r="B80" s="68"/>
      <c r="C80" s="58"/>
      <c r="D80" s="16"/>
      <c r="E80" s="17"/>
      <c r="F80" s="18"/>
      <c r="G80" s="36">
        <v>0</v>
      </c>
      <c r="H80" s="20"/>
      <c r="I80" s="36">
        <f t="shared" si="1"/>
        <v>14.13</v>
      </c>
      <c r="J80" s="31"/>
      <c r="K80" s="36">
        <f>I80/SUM($E$11:E80)</f>
        <v>14.13</v>
      </c>
    </row>
    <row r="81" spans="2:11" x14ac:dyDescent="0.2">
      <c r="B81" s="68"/>
      <c r="C81" s="58"/>
      <c r="D81" s="16"/>
      <c r="E81" s="17"/>
      <c r="F81" s="18"/>
      <c r="G81" s="36">
        <v>0</v>
      </c>
      <c r="H81" s="20"/>
      <c r="I81" s="36">
        <f t="shared" si="1"/>
        <v>14.13</v>
      </c>
      <c r="J81" s="31"/>
      <c r="K81" s="36">
        <f>I81/SUM($E$11:E81)</f>
        <v>14.13</v>
      </c>
    </row>
    <row r="82" spans="2:11" x14ac:dyDescent="0.2">
      <c r="B82" s="68"/>
      <c r="C82" s="58"/>
      <c r="D82" s="16"/>
      <c r="E82" s="17"/>
      <c r="F82" s="18"/>
      <c r="G82" s="36">
        <v>0</v>
      </c>
      <c r="H82" s="20"/>
      <c r="I82" s="36">
        <f t="shared" si="1"/>
        <v>14.13</v>
      </c>
      <c r="J82" s="31"/>
      <c r="K82" s="36">
        <f>I82/SUM($E$11:E82)</f>
        <v>14.13</v>
      </c>
    </row>
    <row r="83" spans="2:11" x14ac:dyDescent="0.2">
      <c r="B83" s="68"/>
      <c r="C83" s="58"/>
      <c r="D83" s="16"/>
      <c r="E83" s="17"/>
      <c r="F83" s="18"/>
      <c r="G83" s="36">
        <v>0</v>
      </c>
      <c r="H83" s="20"/>
      <c r="I83" s="36">
        <f t="shared" si="1"/>
        <v>14.13</v>
      </c>
      <c r="J83" s="31"/>
      <c r="K83" s="36">
        <f>I83/SUM($E$11:E83)</f>
        <v>14.13</v>
      </c>
    </row>
    <row r="84" spans="2:11" x14ac:dyDescent="0.2">
      <c r="B84" s="68"/>
      <c r="C84" s="58"/>
      <c r="D84" s="16"/>
      <c r="E84" s="17"/>
      <c r="F84" s="18"/>
      <c r="G84" s="36">
        <v>0</v>
      </c>
      <c r="H84" s="20"/>
      <c r="I84" s="36">
        <f t="shared" si="1"/>
        <v>14.13</v>
      </c>
      <c r="J84" s="31"/>
      <c r="K84" s="36">
        <f>I84/SUM($E$11:E84)</f>
        <v>14.13</v>
      </c>
    </row>
    <row r="85" spans="2:11" x14ac:dyDescent="0.2">
      <c r="B85" s="68"/>
      <c r="C85" s="58"/>
      <c r="D85" s="16"/>
      <c r="E85" s="17"/>
      <c r="F85" s="18"/>
      <c r="G85" s="36">
        <v>0</v>
      </c>
      <c r="H85" s="20"/>
      <c r="I85" s="36">
        <f t="shared" si="1"/>
        <v>14.13</v>
      </c>
      <c r="J85" s="31"/>
      <c r="K85" s="36">
        <f>I85/SUM($E$11:E85)</f>
        <v>14.13</v>
      </c>
    </row>
    <row r="86" spans="2:11" x14ac:dyDescent="0.2">
      <c r="B86" s="68"/>
      <c r="C86" s="58"/>
      <c r="D86" s="16"/>
      <c r="E86" s="17"/>
      <c r="F86" s="18"/>
      <c r="G86" s="36">
        <v>0</v>
      </c>
      <c r="H86" s="20"/>
      <c r="I86" s="36">
        <f t="shared" si="1"/>
        <v>14.13</v>
      </c>
      <c r="J86" s="31"/>
      <c r="K86" s="36">
        <f>I86/SUM($E$11:E86)</f>
        <v>14.13</v>
      </c>
    </row>
    <row r="87" spans="2:11" x14ac:dyDescent="0.2">
      <c r="B87" s="68"/>
      <c r="C87" s="58"/>
      <c r="D87" s="16"/>
      <c r="E87" s="17"/>
      <c r="F87" s="18"/>
      <c r="G87" s="36">
        <v>0</v>
      </c>
      <c r="H87" s="20"/>
      <c r="I87" s="36">
        <f t="shared" si="1"/>
        <v>14.13</v>
      </c>
      <c r="J87" s="31"/>
      <c r="K87" s="36">
        <f>I87/SUM($E$11:E87)</f>
        <v>14.13</v>
      </c>
    </row>
    <row r="88" spans="2:11" x14ac:dyDescent="0.2">
      <c r="B88" s="68"/>
      <c r="C88" s="58"/>
      <c r="D88" s="16"/>
      <c r="E88" s="17"/>
      <c r="F88" s="18"/>
      <c r="G88" s="36">
        <v>0</v>
      </c>
      <c r="H88" s="20"/>
      <c r="I88" s="36">
        <f t="shared" si="1"/>
        <v>14.13</v>
      </c>
      <c r="J88" s="31"/>
      <c r="K88" s="36">
        <f>I88/SUM($E$11:E88)</f>
        <v>14.13</v>
      </c>
    </row>
    <row r="89" spans="2:11" x14ac:dyDescent="0.2">
      <c r="B89" s="68"/>
      <c r="C89" s="58"/>
      <c r="D89" s="16"/>
      <c r="E89" s="17"/>
      <c r="F89" s="18"/>
      <c r="G89" s="36">
        <v>0</v>
      </c>
      <c r="H89" s="20"/>
      <c r="I89" s="36">
        <f t="shared" si="1"/>
        <v>14.13</v>
      </c>
      <c r="J89" s="31"/>
      <c r="K89" s="36">
        <f>I89/SUM($E$11:E89)</f>
        <v>14.13</v>
      </c>
    </row>
    <row r="90" spans="2:11" x14ac:dyDescent="0.2">
      <c r="B90" s="68"/>
      <c r="C90" s="58"/>
      <c r="D90" s="16"/>
      <c r="E90" s="17"/>
      <c r="F90" s="18"/>
      <c r="G90" s="36">
        <v>0</v>
      </c>
      <c r="H90" s="20"/>
      <c r="I90" s="36">
        <f t="shared" si="1"/>
        <v>14.13</v>
      </c>
      <c r="J90" s="31"/>
      <c r="K90" s="36">
        <f>I90/SUM($E$11:E90)</f>
        <v>14.13</v>
      </c>
    </row>
    <row r="91" spans="2:11" x14ac:dyDescent="0.2">
      <c r="B91" s="68"/>
      <c r="C91" s="58"/>
      <c r="D91" s="16"/>
      <c r="E91" s="17"/>
      <c r="F91" s="18"/>
      <c r="G91" s="36">
        <v>0</v>
      </c>
      <c r="H91" s="20"/>
      <c r="I91" s="36">
        <f t="shared" si="1"/>
        <v>14.13</v>
      </c>
      <c r="J91" s="31"/>
      <c r="K91" s="36">
        <f>I91/SUM($E$11:E91)</f>
        <v>14.13</v>
      </c>
    </row>
    <row r="92" spans="2:11" x14ac:dyDescent="0.2">
      <c r="B92" s="68"/>
      <c r="C92" s="58"/>
      <c r="D92" s="16"/>
      <c r="E92" s="17"/>
      <c r="F92" s="18"/>
      <c r="G92" s="36">
        <v>0</v>
      </c>
      <c r="H92" s="20"/>
      <c r="I92" s="36">
        <f t="shared" si="1"/>
        <v>14.13</v>
      </c>
      <c r="J92" s="31"/>
      <c r="K92" s="36">
        <f>I92/SUM($E$11:E92)</f>
        <v>14.13</v>
      </c>
    </row>
    <row r="93" spans="2:11" x14ac:dyDescent="0.2">
      <c r="B93" s="68"/>
      <c r="C93" s="58"/>
      <c r="D93" s="16"/>
      <c r="E93" s="17"/>
      <c r="F93" s="18"/>
      <c r="G93" s="36">
        <v>0</v>
      </c>
      <c r="H93" s="20"/>
      <c r="I93" s="36">
        <f t="shared" si="1"/>
        <v>14.13</v>
      </c>
      <c r="J93" s="31"/>
      <c r="K93" s="36">
        <f>I93/SUM($E$11:E93)</f>
        <v>14.13</v>
      </c>
    </row>
    <row r="94" spans="2:11" x14ac:dyDescent="0.2">
      <c r="B94" s="68"/>
      <c r="C94" s="58"/>
      <c r="D94" s="16"/>
      <c r="E94" s="17"/>
      <c r="F94" s="18"/>
      <c r="G94" s="36">
        <v>0</v>
      </c>
      <c r="H94" s="20"/>
      <c r="I94" s="36">
        <f t="shared" si="1"/>
        <v>14.13</v>
      </c>
      <c r="J94" s="31"/>
      <c r="K94" s="36">
        <f>I94/SUM($E$11:E94)</f>
        <v>14.13</v>
      </c>
    </row>
    <row r="95" spans="2:11" x14ac:dyDescent="0.2">
      <c r="B95" s="68"/>
      <c r="C95" s="16"/>
      <c r="D95" s="16"/>
      <c r="E95" s="17"/>
      <c r="F95" s="18"/>
      <c r="G95" s="36">
        <v>0</v>
      </c>
      <c r="H95" s="20"/>
      <c r="I95" s="36">
        <f t="shared" si="1"/>
        <v>14.13</v>
      </c>
      <c r="J95" s="31"/>
      <c r="K95" s="36">
        <f>I95/SUM($E$11:E95)</f>
        <v>14.13</v>
      </c>
    </row>
    <row r="96" spans="2:11" x14ac:dyDescent="0.2">
      <c r="B96" s="68"/>
      <c r="C96" s="16"/>
      <c r="D96" s="16"/>
      <c r="E96" s="17"/>
      <c r="F96" s="18"/>
      <c r="G96" s="127"/>
      <c r="H96" s="20"/>
      <c r="I96" s="19"/>
      <c r="J96" s="31"/>
      <c r="K96" s="22">
        <f>I96/3400</f>
        <v>0</v>
      </c>
    </row>
    <row r="97" spans="2:11" ht="4.75" customHeight="1" x14ac:dyDescent="0.2">
      <c r="B97" s="15"/>
      <c r="C97" s="17"/>
      <c r="D97" s="17"/>
      <c r="E97" s="17"/>
      <c r="F97" s="18"/>
      <c r="G97" s="19"/>
      <c r="H97" s="20"/>
      <c r="I97" s="20"/>
      <c r="J97" s="31"/>
      <c r="K97" s="17"/>
    </row>
    <row r="98" spans="2:11" ht="23" customHeight="1" x14ac:dyDescent="0.25">
      <c r="B98" s="15"/>
      <c r="C98" s="17"/>
      <c r="D98" s="17"/>
      <c r="E98" s="129"/>
      <c r="F98" s="24"/>
      <c r="G98" s="25">
        <f>SUM(G38:G95)</f>
        <v>0</v>
      </c>
      <c r="H98" s="20"/>
      <c r="I98" s="20"/>
      <c r="J98" s="31"/>
      <c r="K98" s="17"/>
    </row>
  </sheetData>
  <mergeCells count="1">
    <mergeCell ref="B8:G8"/>
  </mergeCells>
  <conditionalFormatting sqref="B38:B55">
    <cfRule type="expression" dxfId="479" priority="1">
      <formula>AND(ISNUMBER(SEARCH("call", B38)), J38="expired")</formula>
    </cfRule>
    <cfRule type="expression" dxfId="478" priority="2">
      <formula>AND(ISNUMBER(SEARCH("call", B38)), J38="assigned")</formula>
    </cfRule>
    <cfRule type="expression" dxfId="477" priority="3">
      <formula>J38="assigned"</formula>
    </cfRule>
    <cfRule type="expression" dxfId="476" priority="4">
      <formula>J38="expired"</formula>
    </cfRule>
  </conditionalFormatting>
  <pageMargins left="0.7" right="0.7" top="0.75" bottom="0.75" header="0.3" footer="0.3"/>
  <pageSetup paperSize="0" orientation="portrait" r:id="rId1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5702-876D-0D40-ACFE-F7080734666A}">
  <sheetPr codeName="Sheet7"/>
  <dimension ref="B1:K91"/>
  <sheetViews>
    <sheetView zoomScale="110" zoomScaleNormal="110" workbookViewId="0">
      <pane xSplit="1" ySplit="10" topLeftCell="B28" activePane="bottomRight" state="frozen"/>
      <selection activeCell="F3" sqref="F3"/>
      <selection pane="topRight" activeCell="F3" sqref="F3"/>
      <selection pane="bottomLeft" activeCell="F3" sqref="F3"/>
      <selection pane="bottomRight" activeCell="G56" sqref="G56"/>
    </sheetView>
  </sheetViews>
  <sheetFormatPr baseColWidth="10" defaultColWidth="8.83203125" defaultRowHeight="15" x14ac:dyDescent="0.2"/>
  <cols>
    <col min="1" max="1" width="6" customWidth="1"/>
    <col min="2" max="2" width="36.33203125" style="29" customWidth="1"/>
    <col min="3" max="3" width="8.83203125" style="55" bestFit="1" customWidth="1"/>
    <col min="4" max="4" width="6.6640625" customWidth="1"/>
    <col min="5" max="5" width="7.33203125" bestFit="1" customWidth="1"/>
    <col min="6" max="6" width="9.1640625" bestFit="1" customWidth="1"/>
    <col min="7" max="7" width="10.6640625" bestFit="1" customWidth="1"/>
    <col min="8" max="8" width="2.5" customWidth="1"/>
    <col min="9" max="9" width="13" customWidth="1"/>
    <col min="10" max="10" width="24" style="29" customWidth="1"/>
    <col min="11" max="11" width="7.83203125" style="2" customWidth="1"/>
  </cols>
  <sheetData>
    <row r="1" spans="2:11" ht="17" x14ac:dyDescent="0.2">
      <c r="B1" s="38" t="s">
        <v>145</v>
      </c>
    </row>
    <row r="2" spans="2:11" x14ac:dyDescent="0.2">
      <c r="B2" s="39"/>
      <c r="C2" s="56"/>
      <c r="D2" s="2"/>
      <c r="E2" s="2"/>
      <c r="F2" s="3"/>
      <c r="G2" s="4"/>
    </row>
    <row r="3" spans="2:11" ht="19" x14ac:dyDescent="0.25">
      <c r="B3" s="40"/>
      <c r="C3" s="57"/>
      <c r="D3" s="6"/>
      <c r="E3" s="6"/>
      <c r="F3" s="7" t="s">
        <v>0</v>
      </c>
      <c r="G3" s="8">
        <f>IF(ISERROR(SUM(G24,G87)/G4),SUM(G24,G87),SUM(G24,G87)/G4)</f>
        <v>70.44</v>
      </c>
      <c r="I3" t="s">
        <v>1</v>
      </c>
      <c r="J3" s="30">
        <v>111</v>
      </c>
      <c r="K3" s="6"/>
    </row>
    <row r="4" spans="2:11" x14ac:dyDescent="0.2">
      <c r="B4" s="41"/>
      <c r="C4" s="56"/>
      <c r="D4" s="2"/>
      <c r="E4" s="2"/>
      <c r="F4" s="3" t="s">
        <v>2</v>
      </c>
      <c r="G4" s="9">
        <f>SUM(E11:E154)</f>
        <v>100</v>
      </c>
    </row>
    <row r="5" spans="2:11" x14ac:dyDescent="0.2">
      <c r="C5" s="56"/>
      <c r="D5" s="2"/>
      <c r="E5" s="2"/>
      <c r="F5" s="3"/>
      <c r="G5" s="4"/>
    </row>
    <row r="6" spans="2:11" x14ac:dyDescent="0.2">
      <c r="C6" s="58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39"/>
      <c r="C7" s="58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ht="16" x14ac:dyDescent="0.2">
      <c r="B9" s="42" t="s">
        <v>11</v>
      </c>
      <c r="C9" s="59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42"/>
      <c r="C10" s="59"/>
      <c r="D10" s="11"/>
      <c r="E10" s="11"/>
      <c r="F10" s="13"/>
      <c r="G10" s="14"/>
      <c r="H10" s="11"/>
      <c r="I10" s="11"/>
      <c r="J10" s="33"/>
      <c r="K10" s="11"/>
    </row>
    <row r="11" spans="2:11" ht="16" x14ac:dyDescent="0.2">
      <c r="B11" s="39" t="s">
        <v>524</v>
      </c>
      <c r="C11" s="58" t="d">
        <v>2025-08-08</v>
      </c>
      <c r="D11" s="16"/>
      <c r="E11" s="17">
        <v>100</v>
      </c>
      <c r="F11" s="35">
        <v>85</v>
      </c>
      <c r="G11" s="36">
        <f>E11*F11</f>
        <v>8500</v>
      </c>
      <c r="H11" s="20"/>
      <c r="I11" s="36">
        <f>G11</f>
        <v>8500</v>
      </c>
      <c r="J11" s="31"/>
      <c r="K11" s="34">
        <f>IF(ISERROR(I11/$G$4),0,I11/SUM($E$11:E11))</f>
        <v>85</v>
      </c>
    </row>
    <row r="12" spans="2:11" x14ac:dyDescent="0.2">
      <c r="B12" s="39"/>
      <c r="C12" s="58"/>
      <c r="D12" s="16"/>
      <c r="E12" s="17"/>
      <c r="F12" s="35"/>
      <c r="G12" s="36">
        <f>E12*F12</f>
        <v>0</v>
      </c>
      <c r="H12" s="20"/>
      <c r="I12" s="36">
        <f>I11+G12</f>
        <v>8500</v>
      </c>
      <c r="J12" s="31"/>
      <c r="K12" s="34">
        <f>IF(ISERROR(I12/$G$4),0,I12/SUM($E$11:E12))</f>
        <v>85</v>
      </c>
    </row>
    <row r="13" spans="2:11" x14ac:dyDescent="0.2">
      <c r="B13" s="39"/>
      <c r="C13" s="58"/>
      <c r="D13" s="16"/>
      <c r="E13" s="17"/>
      <c r="F13" s="35"/>
      <c r="G13" s="36">
        <f>E13*F13</f>
        <v>0</v>
      </c>
      <c r="H13" s="20"/>
      <c r="I13" s="36">
        <f>I12+G13</f>
        <v>8500</v>
      </c>
      <c r="J13" s="31"/>
      <c r="K13" s="34">
        <f>IF(ISERROR(I13/$G$4),0,I13/SUM($E$11:E13))</f>
        <v>85</v>
      </c>
    </row>
    <row r="14" spans="2:11" x14ac:dyDescent="0.2">
      <c r="B14" s="39"/>
      <c r="C14" s="58"/>
      <c r="D14" s="16"/>
      <c r="E14" s="17"/>
      <c r="F14" s="35"/>
      <c r="G14" s="36">
        <f>E14*F14</f>
        <v>0</v>
      </c>
      <c r="H14" s="20"/>
      <c r="I14" s="36">
        <f>I13+G14</f>
        <v>8500</v>
      </c>
      <c r="J14" s="31"/>
      <c r="K14" s="34">
        <f>IF(ISERROR(I14/$G$4),0,I14/SUM($E$11:E14))</f>
        <v>85</v>
      </c>
    </row>
    <row r="15" spans="2:11" x14ac:dyDescent="0.2">
      <c r="B15" s="39"/>
      <c r="C15" s="58"/>
      <c r="D15" s="16"/>
      <c r="E15" s="17"/>
      <c r="F15" s="35"/>
      <c r="G15" s="36">
        <f t="shared" ref="G15:G22" si="0">E15*F15</f>
        <v>0</v>
      </c>
      <c r="H15" s="20"/>
      <c r="I15" s="36">
        <f t="shared" ref="I15:I22" si="1">I14+G15</f>
        <v>8500</v>
      </c>
      <c r="J15" s="31"/>
      <c r="K15" s="34">
        <f>IF(ISERROR(I15/$G$4),0,I15/SUM($E$11:E15))</f>
        <v>85</v>
      </c>
    </row>
    <row r="16" spans="2:11" x14ac:dyDescent="0.2">
      <c r="B16" s="39"/>
      <c r="C16" s="58"/>
      <c r="D16" s="16"/>
      <c r="E16" s="17"/>
      <c r="F16" s="35"/>
      <c r="G16" s="36">
        <f t="shared" si="0"/>
        <v>0</v>
      </c>
      <c r="H16" s="20"/>
      <c r="I16" s="36">
        <f t="shared" si="1"/>
        <v>8500</v>
      </c>
      <c r="J16" s="31"/>
      <c r="K16" s="34">
        <f>IF(ISERROR(I16/$G$4),0,I16/SUM($E$11:E16))</f>
        <v>85</v>
      </c>
    </row>
    <row r="17" spans="2:11" x14ac:dyDescent="0.2">
      <c r="B17" s="39"/>
      <c r="C17" s="58"/>
      <c r="D17" s="16"/>
      <c r="E17" s="17"/>
      <c r="F17" s="35"/>
      <c r="G17" s="36">
        <f t="shared" si="0"/>
        <v>0</v>
      </c>
      <c r="H17" s="20"/>
      <c r="I17" s="36">
        <f t="shared" si="1"/>
        <v>8500</v>
      </c>
      <c r="J17" s="31"/>
      <c r="K17" s="34">
        <f>IF(ISERROR(I17/$G$4),0,I17/SUM($E$11:E17))</f>
        <v>85</v>
      </c>
    </row>
    <row r="18" spans="2:11" x14ac:dyDescent="0.2">
      <c r="B18" s="39"/>
      <c r="C18" s="58"/>
      <c r="D18" s="16"/>
      <c r="E18" s="17"/>
      <c r="F18" s="35"/>
      <c r="G18" s="36">
        <f t="shared" si="0"/>
        <v>0</v>
      </c>
      <c r="H18" s="20"/>
      <c r="I18" s="36">
        <f t="shared" si="1"/>
        <v>8500</v>
      </c>
      <c r="J18" s="31"/>
      <c r="K18" s="34">
        <f>IF(ISERROR(I18/$G$4),0,I18/SUM($E$11:E18))</f>
        <v>85</v>
      </c>
    </row>
    <row r="19" spans="2:11" x14ac:dyDescent="0.2">
      <c r="B19" s="39"/>
      <c r="C19" s="58"/>
      <c r="D19" s="16"/>
      <c r="E19" s="17"/>
      <c r="F19" s="35"/>
      <c r="G19" s="36">
        <f t="shared" si="0"/>
        <v>0</v>
      </c>
      <c r="H19" s="20"/>
      <c r="I19" s="36">
        <f t="shared" si="1"/>
        <v>8500</v>
      </c>
      <c r="J19" s="31"/>
      <c r="K19" s="34">
        <f>IF(ISERROR(I19/$G$4),0,I19/SUM($E$11:E19))</f>
        <v>85</v>
      </c>
    </row>
    <row r="20" spans="2:11" x14ac:dyDescent="0.2">
      <c r="B20" s="39"/>
      <c r="C20" s="58"/>
      <c r="D20" s="16"/>
      <c r="E20" s="17"/>
      <c r="F20" s="35"/>
      <c r="G20" s="36">
        <f t="shared" si="0"/>
        <v>0</v>
      </c>
      <c r="H20" s="20"/>
      <c r="I20" s="36">
        <f t="shared" si="1"/>
        <v>8500</v>
      </c>
      <c r="J20" s="31"/>
      <c r="K20" s="34">
        <f>IF(ISERROR(I20/$G$4),0,I20/SUM($E$11:E20))</f>
        <v>85</v>
      </c>
    </row>
    <row r="21" spans="2:11" x14ac:dyDescent="0.2">
      <c r="B21" s="39"/>
      <c r="C21" s="58"/>
      <c r="D21" s="16"/>
      <c r="E21" s="17"/>
      <c r="F21" s="35"/>
      <c r="G21" s="36">
        <f t="shared" si="0"/>
        <v>0</v>
      </c>
      <c r="H21" s="20"/>
      <c r="I21" s="36">
        <f t="shared" si="1"/>
        <v>8500</v>
      </c>
      <c r="J21" s="31"/>
      <c r="K21" s="34">
        <f>IF(ISERROR(I21/$G$4),0,I21/SUM($E$11:E21))</f>
        <v>85</v>
      </c>
    </row>
    <row r="22" spans="2:11" x14ac:dyDescent="0.2">
      <c r="B22" s="39"/>
      <c r="C22" s="58"/>
      <c r="D22" s="16"/>
      <c r="E22" s="17"/>
      <c r="F22" s="35"/>
      <c r="G22" s="36">
        <f t="shared" si="0"/>
        <v>0</v>
      </c>
      <c r="H22" s="20"/>
      <c r="I22" s="36">
        <f t="shared" si="1"/>
        <v>8500</v>
      </c>
      <c r="J22" s="31"/>
      <c r="K22" s="34">
        <f>IF(ISERROR(I22/$G$4),0,I22/SUM($E$11:E22))</f>
        <v>85</v>
      </c>
    </row>
    <row r="23" spans="2:11" x14ac:dyDescent="0.2">
      <c r="B23" s="39"/>
      <c r="C23" s="58"/>
      <c r="D23" s="16"/>
      <c r="E23" s="17"/>
      <c r="F23" s="35"/>
      <c r="G23" s="36">
        <f>E23*F23</f>
        <v>0</v>
      </c>
      <c r="H23" s="20"/>
      <c r="I23" s="36">
        <f>I14+G23</f>
        <v>8500</v>
      </c>
      <c r="J23" s="31"/>
      <c r="K23" s="34">
        <f>IF(ISERROR(I23/$G$4),0,I23/SUM($E$11:E23))</f>
        <v>85</v>
      </c>
    </row>
    <row r="24" spans="2:11" x14ac:dyDescent="0.2">
      <c r="G24" s="195">
        <f>SUM(G11:G23)</f>
        <v>8500</v>
      </c>
      <c r="H24" s="20"/>
      <c r="I24" s="19"/>
      <c r="J24" s="31"/>
      <c r="K24" s="22">
        <f>SUM(G11:G23)/SUM(E11:E23)</f>
        <v>85</v>
      </c>
    </row>
    <row r="25" spans="2:11" ht="6" customHeight="1" x14ac:dyDescent="0.2">
      <c r="B25" s="47"/>
      <c r="C25" s="60"/>
      <c r="D25" s="48"/>
      <c r="E25" s="48"/>
      <c r="F25" s="49"/>
      <c r="G25" s="50"/>
      <c r="H25" s="51"/>
      <c r="I25" s="51"/>
      <c r="J25" s="52"/>
      <c r="K25" s="48"/>
    </row>
    <row r="26" spans="2:11" ht="6.5" customHeight="1" x14ac:dyDescent="0.2">
      <c r="B26" s="47"/>
      <c r="C26" s="60"/>
      <c r="D26" s="48"/>
      <c r="E26" s="48"/>
      <c r="F26" s="49"/>
      <c r="G26" s="50"/>
      <c r="H26" s="51"/>
      <c r="I26" s="51"/>
      <c r="J26" s="52"/>
      <c r="K26" s="48"/>
    </row>
    <row r="27" spans="2:11" ht="16" x14ac:dyDescent="0.2">
      <c r="B27" s="39" t="s">
        <v>146</v>
      </c>
      <c r="C27" s="58" t="d">
        <v>2024-09-23</v>
      </c>
      <c r="D27" s="53"/>
      <c r="E27" s="17"/>
      <c r="F27" s="18"/>
      <c r="G27" s="36">
        <v>-40</v>
      </c>
      <c r="H27" s="20"/>
      <c r="I27" s="46">
        <f>I23+G27</f>
        <v>8460</v>
      </c>
      <c r="J27" s="31" t="s">
        <v>10</v>
      </c>
      <c r="K27" s="37">
        <f>I27/SUM($E$11:E27)</f>
        <v>84.6</v>
      </c>
    </row>
    <row r="28" spans="2:11" ht="16" x14ac:dyDescent="0.2">
      <c r="B28" s="39" t="s">
        <v>153</v>
      </c>
      <c r="C28" s="58" t="d">
        <v>2024-11-18</v>
      </c>
      <c r="D28" s="53"/>
      <c r="E28" s="17"/>
      <c r="F28" s="18">
        <v>101</v>
      </c>
      <c r="G28" s="36">
        <v>-35</v>
      </c>
      <c r="H28" s="20"/>
      <c r="I28" s="46">
        <f t="shared" ref="I28:I84" si="2">I27+G28</f>
        <v>8425</v>
      </c>
      <c r="J28" s="31" t="s">
        <v>10</v>
      </c>
      <c r="K28" s="37">
        <f>I28/SUM($E$11:E28)</f>
        <v>84.25</v>
      </c>
    </row>
    <row r="29" spans="2:11" ht="16" x14ac:dyDescent="0.2">
      <c r="B29" s="39" t="s">
        <v>181</v>
      </c>
      <c r="C29" s="58" t="d">
        <v>2024-11-29</v>
      </c>
      <c r="D29" s="53"/>
      <c r="E29" s="17"/>
      <c r="F29" s="18">
        <v>103</v>
      </c>
      <c r="G29" s="36">
        <v>-143</v>
      </c>
      <c r="H29" s="20"/>
      <c r="I29" s="46">
        <f t="shared" si="2"/>
        <v>8282</v>
      </c>
      <c r="J29" s="31" t="s">
        <v>10</v>
      </c>
      <c r="K29" s="37">
        <f>I29/SUM($E$11:E29)</f>
        <v>82.82</v>
      </c>
    </row>
    <row r="30" spans="2:11" ht="16" x14ac:dyDescent="0.2">
      <c r="B30" s="39" t="s">
        <v>234</v>
      </c>
      <c r="C30" s="58" t="d">
        <v>2025-01-22</v>
      </c>
      <c r="D30" s="53"/>
      <c r="E30" s="17"/>
      <c r="F30" s="18">
        <v>102.64</v>
      </c>
      <c r="G30" s="36">
        <v>-55</v>
      </c>
      <c r="H30" s="20"/>
      <c r="I30" s="46">
        <f t="shared" si="2"/>
        <v>8227</v>
      </c>
      <c r="J30" s="31" t="s">
        <v>10</v>
      </c>
      <c r="K30" s="37">
        <f>I30/SUM($E$11:E30)</f>
        <v>82.27</v>
      </c>
    </row>
    <row r="31" spans="2:11" ht="16" x14ac:dyDescent="0.2">
      <c r="B31" s="39" t="s">
        <v>510</v>
      </c>
      <c r="C31" s="58" t="d">
        <v>2025-02-03</v>
      </c>
      <c r="D31" s="53"/>
      <c r="E31" s="17"/>
      <c r="F31" s="18">
        <v>98.8</v>
      </c>
      <c r="G31" s="36">
        <v>-21</v>
      </c>
      <c r="H31" s="20"/>
      <c r="I31" s="46">
        <f t="shared" si="2"/>
        <v>8206</v>
      </c>
      <c r="J31" s="31" t="s">
        <v>10</v>
      </c>
      <c r="K31" s="37">
        <f>I31/SUM($E$11:E31)</f>
        <v>82.06</v>
      </c>
    </row>
    <row r="32" spans="2:11" ht="16" x14ac:dyDescent="0.2">
      <c r="B32" s="39" t="s">
        <v>361</v>
      </c>
      <c r="C32" s="58" t="d">
        <v>2025-02-14</v>
      </c>
      <c r="D32" s="53"/>
      <c r="E32" s="17"/>
      <c r="F32" s="18"/>
      <c r="G32" s="36">
        <v>-43</v>
      </c>
      <c r="H32" s="20"/>
      <c r="I32" s="46">
        <f t="shared" si="2"/>
        <v>8163</v>
      </c>
      <c r="J32" s="31" t="s">
        <v>10</v>
      </c>
      <c r="K32" s="37">
        <f>I32/SUM($E$11:E32)</f>
        <v>81.63</v>
      </c>
    </row>
    <row r="33" spans="2:11" ht="16" x14ac:dyDescent="0.2">
      <c r="B33" s="39" t="s">
        <v>362</v>
      </c>
      <c r="C33" s="58" t="d">
        <v>2025-04-21</v>
      </c>
      <c r="D33" s="53"/>
      <c r="E33" s="17"/>
      <c r="F33" s="18"/>
      <c r="G33" s="36">
        <v>-50</v>
      </c>
      <c r="H33" s="20"/>
      <c r="I33" s="46">
        <f t="shared" si="2"/>
        <v>8113</v>
      </c>
      <c r="J33" s="31" t="s">
        <v>10</v>
      </c>
      <c r="K33" s="37">
        <f>I33/SUM($E$11:E33)</f>
        <v>81.13</v>
      </c>
    </row>
    <row r="34" spans="2:11" ht="16" x14ac:dyDescent="0.2">
      <c r="B34" s="39" t="s">
        <v>416</v>
      </c>
      <c r="C34" s="58" t="d">
        <v>2025-04-30</v>
      </c>
      <c r="D34" s="53"/>
      <c r="E34" s="17"/>
      <c r="F34" s="18"/>
      <c r="G34" s="36">
        <v>-40</v>
      </c>
      <c r="H34" s="20"/>
      <c r="I34" s="46">
        <f t="shared" si="2"/>
        <v>8073</v>
      </c>
      <c r="J34" s="31" t="s">
        <v>10</v>
      </c>
      <c r="K34" s="37">
        <f>I34/SUM($E$11:E34)</f>
        <v>80.73</v>
      </c>
    </row>
    <row r="35" spans="2:11" ht="16" x14ac:dyDescent="0.2">
      <c r="B35" s="39" t="s">
        <v>454</v>
      </c>
      <c r="C35" s="58" t="d">
        <v>2025-06-23</v>
      </c>
      <c r="D35" s="53"/>
      <c r="E35" s="17"/>
      <c r="F35" s="18"/>
      <c r="G35" s="36">
        <v>-49</v>
      </c>
      <c r="H35" s="20"/>
      <c r="I35" s="46">
        <f t="shared" si="2"/>
        <v>8024</v>
      </c>
      <c r="J35" s="31" t="s">
        <v>10</v>
      </c>
      <c r="K35" s="37">
        <f>I35/SUM($E$11:E35)</f>
        <v>80.239999999999995</v>
      </c>
    </row>
    <row r="36" spans="2:11" ht="16" x14ac:dyDescent="0.2">
      <c r="B36" s="39" t="s">
        <v>511</v>
      </c>
      <c r="C36" s="58" t="d">
        <v>2025-07-09</v>
      </c>
      <c r="D36" s="53"/>
      <c r="E36" s="17"/>
      <c r="F36" s="18"/>
      <c r="G36" s="36">
        <v>-50</v>
      </c>
      <c r="H36" s="20"/>
      <c r="I36" s="46">
        <f t="shared" si="2"/>
        <v>7974</v>
      </c>
      <c r="J36" s="31" t="s">
        <v>10</v>
      </c>
      <c r="K36" s="37">
        <f>I36/SUM($E$11:E36)</f>
        <v>79.739999999999995</v>
      </c>
    </row>
    <row r="37" spans="2:11" ht="16" x14ac:dyDescent="0.2">
      <c r="B37" s="39" t="s">
        <v>512</v>
      </c>
      <c r="C37" s="58" t="d">
        <v>2025-07-30</v>
      </c>
      <c r="D37" s="53"/>
      <c r="E37" s="17"/>
      <c r="F37" s="18"/>
      <c r="G37" s="36">
        <v>-51</v>
      </c>
      <c r="H37" s="20"/>
      <c r="I37" s="46">
        <f t="shared" si="2"/>
        <v>7923</v>
      </c>
      <c r="J37" s="31" t="s">
        <v>122</v>
      </c>
      <c r="K37" s="37">
        <f>I37/SUM($E$11:E37)</f>
        <v>79.23</v>
      </c>
    </row>
    <row r="38" spans="2:11" ht="16" x14ac:dyDescent="0.2">
      <c r="B38" s="39" t="s">
        <v>513</v>
      </c>
      <c r="C38" s="58" t="d">
        <v>2025-07-30</v>
      </c>
      <c r="D38" s="53"/>
      <c r="E38" s="17"/>
      <c r="F38" s="18"/>
      <c r="G38" s="36">
        <v>-45</v>
      </c>
      <c r="H38" s="20"/>
      <c r="I38" s="46">
        <f t="shared" si="2"/>
        <v>7878</v>
      </c>
      <c r="J38" s="31" t="s">
        <v>281</v>
      </c>
      <c r="K38" s="37">
        <f>I38/SUM($E$11:E38)</f>
        <v>78.78</v>
      </c>
    </row>
    <row r="39" spans="2:11" ht="32" x14ac:dyDescent="0.2">
      <c r="B39" s="39" t="s">
        <v>514</v>
      </c>
      <c r="C39" s="58" t="d">
        <v>2025-08-08</v>
      </c>
      <c r="D39" s="53"/>
      <c r="E39" s="17"/>
      <c r="F39" s="18"/>
      <c r="G39" s="36">
        <v>-5</v>
      </c>
      <c r="H39" s="20"/>
      <c r="I39" s="46"/>
      <c r="J39" s="31" t="s">
        <v>10</v>
      </c>
      <c r="K39" s="37"/>
    </row>
    <row r="40" spans="2:11" ht="16" x14ac:dyDescent="0.2">
      <c r="B40" s="39" t="s">
        <v>525</v>
      </c>
      <c r="C40" s="58" t="d">
        <v>2025-08-08</v>
      </c>
      <c r="D40" s="53"/>
      <c r="E40" s="17"/>
      <c r="F40" s="18"/>
      <c r="G40" s="36">
        <v>-30</v>
      </c>
      <c r="H40" s="20"/>
      <c r="I40" s="46">
        <f>I38+G40</f>
        <v>7848</v>
      </c>
      <c r="J40" s="31" t="s">
        <v>10</v>
      </c>
      <c r="K40" s="37">
        <f>I40/SUM($E$11:E40)</f>
        <v>78.48</v>
      </c>
    </row>
    <row r="41" spans="2:11" ht="16" x14ac:dyDescent="0.2">
      <c r="B41" s="39" t="s">
        <v>526</v>
      </c>
      <c r="C41" s="58" t="d">
        <v>2025-08-11</v>
      </c>
      <c r="D41" s="53"/>
      <c r="E41" s="17"/>
      <c r="F41" s="18"/>
      <c r="G41" s="36">
        <v>-18</v>
      </c>
      <c r="H41" s="20"/>
      <c r="I41" s="46">
        <f t="shared" si="2"/>
        <v>7830</v>
      </c>
      <c r="J41" s="31" t="s">
        <v>281</v>
      </c>
      <c r="K41" s="37">
        <f>I41/SUM($E$11:E41)</f>
        <v>78.3</v>
      </c>
    </row>
    <row r="42" spans="2:11" ht="32" x14ac:dyDescent="0.2">
      <c r="B42" s="39" t="s">
        <v>534</v>
      </c>
      <c r="C42" s="58" t="d">
        <v>2025-08-14</v>
      </c>
      <c r="D42" s="53"/>
      <c r="E42" s="17"/>
      <c r="F42" s="18"/>
      <c r="G42" s="36">
        <v>-24</v>
      </c>
      <c r="H42" s="20"/>
      <c r="I42" s="46">
        <f t="shared" si="2"/>
        <v>7806</v>
      </c>
      <c r="J42" s="31" t="s">
        <v>10</v>
      </c>
      <c r="K42" s="37">
        <f>I42/SUM($E$11:E42)</f>
        <v>78.06</v>
      </c>
    </row>
    <row r="43" spans="2:11" ht="16" x14ac:dyDescent="0.2">
      <c r="B43" s="39" t="s">
        <v>535</v>
      </c>
      <c r="C43" s="58" t="d">
        <v>2025-08-14</v>
      </c>
      <c r="D43" s="53"/>
      <c r="E43" s="17"/>
      <c r="F43" s="18"/>
      <c r="G43" s="36">
        <f>-2*36</f>
        <v>-72</v>
      </c>
      <c r="H43" s="20"/>
      <c r="I43" s="46">
        <f t="shared" si="2"/>
        <v>7734</v>
      </c>
      <c r="J43" s="31" t="s">
        <v>281</v>
      </c>
      <c r="K43" s="37">
        <f>I43/SUM($E$11:E43)</f>
        <v>77.34</v>
      </c>
    </row>
    <row r="44" spans="2:11" ht="32" x14ac:dyDescent="0.2">
      <c r="B44" s="39" t="s">
        <v>562</v>
      </c>
      <c r="C44" s="58" t="d">
        <v>2025-08-22</v>
      </c>
      <c r="D44" s="53"/>
      <c r="E44" s="17"/>
      <c r="F44" s="18"/>
      <c r="G44" s="36">
        <f>-43*2</f>
        <v>-86</v>
      </c>
      <c r="H44" s="20"/>
      <c r="I44" s="46">
        <f t="shared" si="2"/>
        <v>7648</v>
      </c>
      <c r="J44" s="31" t="s">
        <v>281</v>
      </c>
      <c r="K44" s="37">
        <f>I44/SUM($E$11:E44)</f>
        <v>76.48</v>
      </c>
    </row>
    <row r="45" spans="2:11" ht="32" x14ac:dyDescent="0.2">
      <c r="B45" s="39" t="s">
        <v>563</v>
      </c>
      <c r="C45" s="58" t="d">
        <v>2025-08-25</v>
      </c>
      <c r="D45" s="53"/>
      <c r="E45" s="17"/>
      <c r="F45" s="18"/>
      <c r="G45" s="36">
        <v>-40</v>
      </c>
      <c r="H45" s="20"/>
      <c r="I45" s="46">
        <f t="shared" si="2"/>
        <v>7608</v>
      </c>
      <c r="J45" s="31" t="s">
        <v>281</v>
      </c>
      <c r="K45" s="37">
        <f>I45/SUM($E$11:E45)</f>
        <v>76.08</v>
      </c>
    </row>
    <row r="46" spans="2:11" ht="16" x14ac:dyDescent="0.2">
      <c r="B46" s="39" t="s">
        <v>568</v>
      </c>
      <c r="C46" s="58" t="d">
        <v>2025-08-27</v>
      </c>
      <c r="D46" s="53"/>
      <c r="E46" s="17"/>
      <c r="F46" s="18"/>
      <c r="G46" s="36">
        <v>-47</v>
      </c>
      <c r="H46" s="20"/>
      <c r="I46" s="46">
        <f t="shared" si="2"/>
        <v>7561</v>
      </c>
      <c r="J46" s="31" t="s">
        <v>10</v>
      </c>
      <c r="K46" s="37">
        <f>I46/SUM($E$11:E46)</f>
        <v>75.61</v>
      </c>
    </row>
    <row r="47" spans="2:11" ht="32" x14ac:dyDescent="0.2">
      <c r="B47" s="39" t="s">
        <v>564</v>
      </c>
      <c r="C47" s="58" t="d">
        <v>2025-09-05</v>
      </c>
      <c r="D47" s="53"/>
      <c r="E47" s="17"/>
      <c r="F47" s="18"/>
      <c r="G47" s="36">
        <v>-2</v>
      </c>
      <c r="H47" s="20"/>
      <c r="I47" s="46">
        <f t="shared" si="2"/>
        <v>7559</v>
      </c>
      <c r="J47" s="31" t="s">
        <v>10</v>
      </c>
      <c r="K47" s="37">
        <f>I47/SUM($E$11:E47)</f>
        <v>75.59</v>
      </c>
    </row>
    <row r="48" spans="2:11" ht="16" x14ac:dyDescent="0.2">
      <c r="B48" s="39" t="s">
        <v>565</v>
      </c>
      <c r="C48" s="58" t="d">
        <v>2025-09-09</v>
      </c>
      <c r="D48" s="53"/>
      <c r="E48" s="17"/>
      <c r="F48" s="18"/>
      <c r="G48" s="36">
        <v>-4</v>
      </c>
      <c r="H48" s="20"/>
      <c r="I48" s="46">
        <f t="shared" si="2"/>
        <v>7555</v>
      </c>
      <c r="J48" s="31" t="s">
        <v>10</v>
      </c>
      <c r="K48" s="37">
        <f>I48/SUM($E$11:E48)</f>
        <v>75.55</v>
      </c>
    </row>
    <row r="49" spans="2:11" ht="16" x14ac:dyDescent="0.2">
      <c r="B49" s="39" t="s">
        <v>566</v>
      </c>
      <c r="C49" s="58" t="d">
        <v>2025-09-23</v>
      </c>
      <c r="D49" s="53"/>
      <c r="E49" s="17"/>
      <c r="F49" s="18"/>
      <c r="G49" s="36">
        <v>-47</v>
      </c>
      <c r="H49" s="20"/>
      <c r="I49" s="46">
        <f t="shared" si="2"/>
        <v>7508</v>
      </c>
      <c r="J49" s="31" t="s">
        <v>127</v>
      </c>
      <c r="K49" s="37">
        <f>I49/SUM($E$11:E49)</f>
        <v>75.08</v>
      </c>
    </row>
    <row r="50" spans="2:11" ht="16" x14ac:dyDescent="0.2">
      <c r="B50" s="39" t="s">
        <v>567</v>
      </c>
      <c r="C50" s="58" t="d">
        <v>2025-09-23</v>
      </c>
      <c r="D50" s="53"/>
      <c r="E50" s="17"/>
      <c r="F50" s="18"/>
      <c r="G50" s="36">
        <v>-48</v>
      </c>
      <c r="H50" s="20"/>
      <c r="I50" s="46">
        <f t="shared" si="2"/>
        <v>7460</v>
      </c>
      <c r="J50" s="31" t="s">
        <v>127</v>
      </c>
      <c r="K50" s="37">
        <f>I50/SUM($E$11:E50)</f>
        <v>74.599999999999994</v>
      </c>
    </row>
    <row r="51" spans="2:11" ht="16" x14ac:dyDescent="0.2">
      <c r="B51" s="39" t="s">
        <v>645</v>
      </c>
      <c r="C51" s="58" t="d">
        <v>2025-09-29</v>
      </c>
      <c r="D51" s="53"/>
      <c r="E51" s="17"/>
      <c r="F51" s="18"/>
      <c r="G51" s="36">
        <v>-25</v>
      </c>
      <c r="H51" s="20"/>
      <c r="I51" s="46">
        <f t="shared" si="2"/>
        <v>7435</v>
      </c>
      <c r="J51" s="31" t="s">
        <v>10</v>
      </c>
      <c r="K51" s="37">
        <f>I51/SUM($E$11:E51)</f>
        <v>74.349999999999994</v>
      </c>
    </row>
    <row r="52" spans="2:11" ht="16" x14ac:dyDescent="0.2">
      <c r="B52" s="39" t="s">
        <v>646</v>
      </c>
      <c r="C52" s="58" t="d">
        <v>2025-10-01</v>
      </c>
      <c r="D52" s="53"/>
      <c r="E52" s="17"/>
      <c r="F52" s="18"/>
      <c r="G52" s="36">
        <v>5</v>
      </c>
      <c r="H52" s="20"/>
      <c r="I52" s="46">
        <f t="shared" si="2"/>
        <v>7440</v>
      </c>
      <c r="J52" s="31" t="s">
        <v>539</v>
      </c>
      <c r="K52" s="37">
        <f>I52/SUM($E$11:E52)</f>
        <v>74.400000000000006</v>
      </c>
    </row>
    <row r="53" spans="2:11" ht="16" x14ac:dyDescent="0.2">
      <c r="B53" s="39" t="s">
        <v>647</v>
      </c>
      <c r="C53" s="58" t="d">
        <v>2025-10-02</v>
      </c>
      <c r="D53" s="53"/>
      <c r="E53" s="17"/>
      <c r="F53" s="18"/>
      <c r="G53" s="36">
        <v>-8</v>
      </c>
      <c r="H53" s="20"/>
      <c r="I53" s="46">
        <f t="shared" si="2"/>
        <v>7432</v>
      </c>
      <c r="J53" s="31" t="s">
        <v>10</v>
      </c>
      <c r="K53" s="37">
        <f>I53/SUM($E$11:E53)</f>
        <v>74.319999999999993</v>
      </c>
    </row>
    <row r="54" spans="2:11" ht="16" x14ac:dyDescent="0.2">
      <c r="B54" s="39" t="s">
        <v>648</v>
      </c>
      <c r="C54" s="58" t="d">
        <v>2025-10-07</v>
      </c>
      <c r="D54" s="53"/>
      <c r="E54" s="17"/>
      <c r="F54" s="18"/>
      <c r="G54" s="36">
        <v>-55</v>
      </c>
      <c r="H54" s="20"/>
      <c r="I54" s="46">
        <f t="shared" si="2"/>
        <v>7377</v>
      </c>
      <c r="J54" s="31" t="s">
        <v>10</v>
      </c>
      <c r="K54" s="37">
        <f>I54/SUM($E$11:E54)</f>
        <v>73.77</v>
      </c>
    </row>
    <row r="55" spans="2:11" ht="16" x14ac:dyDescent="0.2">
      <c r="B55" s="39" t="s">
        <v>680</v>
      </c>
      <c r="C55" s="58" t="d">
        <v>2025-10-07</v>
      </c>
      <c r="D55" s="53"/>
      <c r="E55" s="17"/>
      <c r="F55" s="18"/>
      <c r="G55" s="36">
        <v>-50</v>
      </c>
      <c r="H55" s="20"/>
      <c r="I55" s="46">
        <f t="shared" si="2"/>
        <v>7327</v>
      </c>
      <c r="J55" s="31" t="s">
        <v>10</v>
      </c>
      <c r="K55" s="37">
        <f>I55/SUM($E$11:E55)</f>
        <v>73.27</v>
      </c>
    </row>
    <row r="56" spans="2:11" ht="16" x14ac:dyDescent="0.2">
      <c r="B56" s="39" t="s">
        <v>675</v>
      </c>
      <c r="C56" s="58" t="d">
        <v>2025-10-16</v>
      </c>
      <c r="D56" s="53"/>
      <c r="E56" s="17"/>
      <c r="F56" s="18"/>
      <c r="G56" s="36">
        <f>-35*2</f>
        <v>-70</v>
      </c>
      <c r="H56" s="20"/>
      <c r="I56" s="46">
        <f t="shared" si="2"/>
        <v>7257</v>
      </c>
      <c r="J56" s="31"/>
      <c r="K56" s="37">
        <f>I56/SUM($E$11:E56)</f>
        <v>72.569999999999993</v>
      </c>
    </row>
    <row r="57" spans="2:11" ht="16" x14ac:dyDescent="0.2">
      <c r="B57" s="39" t="s">
        <v>682</v>
      </c>
      <c r="C57" s="58" t="d">
        <v>2025-10-21</v>
      </c>
      <c r="D57" s="53"/>
      <c r="E57" s="17"/>
      <c r="F57" s="18"/>
      <c r="G57" s="36">
        <v>-57</v>
      </c>
      <c r="H57" s="20"/>
      <c r="I57" s="46">
        <f t="shared" si="2"/>
        <v>7200</v>
      </c>
      <c r="J57" s="31"/>
      <c r="K57" s="37">
        <f>I57/SUM($E$11:E57)</f>
        <v>72</v>
      </c>
    </row>
    <row r="58" spans="2:11" ht="16" x14ac:dyDescent="0.2">
      <c r="B58" s="39" t="s">
        <v>681</v>
      </c>
      <c r="C58" s="58" t="d">
        <v>2025-10-21</v>
      </c>
      <c r="D58" s="53"/>
      <c r="E58" s="17"/>
      <c r="F58" s="18"/>
      <c r="G58" s="36">
        <v>-115</v>
      </c>
      <c r="H58" s="20"/>
      <c r="I58" s="46">
        <f t="shared" si="2"/>
        <v>7085</v>
      </c>
      <c r="J58" s="31"/>
      <c r="K58" s="37">
        <f>I58/SUM($E$11:E58)</f>
        <v>70.849999999999994</v>
      </c>
    </row>
    <row r="59" spans="2:11" ht="16" x14ac:dyDescent="0.2">
      <c r="B59" s="39" t="s">
        <v>683</v>
      </c>
      <c r="C59" s="58" t="d">
        <v>2025-10-21</v>
      </c>
      <c r="D59" s="53"/>
      <c r="E59" s="17"/>
      <c r="F59" s="18"/>
      <c r="G59" s="36">
        <v>-36</v>
      </c>
      <c r="H59" s="20"/>
      <c r="I59" s="46">
        <f t="shared" si="2"/>
        <v>7049</v>
      </c>
      <c r="J59" s="31"/>
      <c r="K59" s="37">
        <f>I59/SUM($E$11:E59)</f>
        <v>70.489999999999995</v>
      </c>
    </row>
    <row r="60" spans="2:11" x14ac:dyDescent="0.2">
      <c r="B60" s="39"/>
      <c r="C60" s="58"/>
      <c r="D60" s="53"/>
      <c r="E60" s="17"/>
      <c r="F60" s="18"/>
      <c r="G60" s="36">
        <v>0</v>
      </c>
      <c r="H60" s="20"/>
      <c r="I60" s="46">
        <f t="shared" si="2"/>
        <v>7049</v>
      </c>
      <c r="J60" s="31"/>
      <c r="K60" s="37">
        <f>I60/SUM($E$11:E60)</f>
        <v>70.489999999999995</v>
      </c>
    </row>
    <row r="61" spans="2:11" x14ac:dyDescent="0.2">
      <c r="B61" s="39"/>
      <c r="C61" s="58"/>
      <c r="D61" s="53"/>
      <c r="E61" s="17"/>
      <c r="F61" s="18"/>
      <c r="G61" s="36">
        <v>0</v>
      </c>
      <c r="H61" s="20"/>
      <c r="I61" s="46">
        <f t="shared" si="2"/>
        <v>7049</v>
      </c>
      <c r="J61" s="31"/>
      <c r="K61" s="37">
        <f>I61/SUM($E$11:E61)</f>
        <v>70.489999999999995</v>
      </c>
    </row>
    <row r="62" spans="2:11" x14ac:dyDescent="0.2">
      <c r="B62" s="39"/>
      <c r="C62" s="58"/>
      <c r="D62" s="53"/>
      <c r="E62" s="17"/>
      <c r="F62" s="18"/>
      <c r="G62" s="36">
        <v>0</v>
      </c>
      <c r="H62" s="20"/>
      <c r="I62" s="46">
        <f t="shared" si="2"/>
        <v>7049</v>
      </c>
      <c r="J62" s="31"/>
      <c r="K62" s="37">
        <f>I62/SUM($E$11:E62)</f>
        <v>70.489999999999995</v>
      </c>
    </row>
    <row r="63" spans="2:11" x14ac:dyDescent="0.2">
      <c r="B63" s="39"/>
      <c r="C63" s="58"/>
      <c r="D63" s="53"/>
      <c r="E63" s="17"/>
      <c r="F63" s="18"/>
      <c r="G63" s="36">
        <v>0</v>
      </c>
      <c r="H63" s="20"/>
      <c r="I63" s="46">
        <f t="shared" si="2"/>
        <v>7049</v>
      </c>
      <c r="J63" s="31"/>
      <c r="K63" s="37">
        <f>I63/SUM($E$11:E63)</f>
        <v>70.489999999999995</v>
      </c>
    </row>
    <row r="64" spans="2:11" x14ac:dyDescent="0.2">
      <c r="B64" s="39"/>
      <c r="C64" s="58"/>
      <c r="D64" s="53"/>
      <c r="E64" s="17"/>
      <c r="F64" s="18"/>
      <c r="G64" s="36">
        <v>0</v>
      </c>
      <c r="H64" s="20"/>
      <c r="I64" s="46">
        <f t="shared" si="2"/>
        <v>7049</v>
      </c>
      <c r="J64" s="31"/>
      <c r="K64" s="37">
        <f>I64/SUM($E$11:E64)</f>
        <v>70.489999999999995</v>
      </c>
    </row>
    <row r="65" spans="2:11" x14ac:dyDescent="0.2">
      <c r="B65" s="39"/>
      <c r="C65" s="58"/>
      <c r="D65" s="53"/>
      <c r="E65" s="17"/>
      <c r="F65" s="18"/>
      <c r="G65" s="36">
        <v>0</v>
      </c>
      <c r="H65" s="20"/>
      <c r="I65" s="46">
        <f t="shared" si="2"/>
        <v>7049</v>
      </c>
      <c r="J65" s="31"/>
      <c r="K65" s="37">
        <f>I65/SUM($E$11:E65)</f>
        <v>70.489999999999995</v>
      </c>
    </row>
    <row r="66" spans="2:11" x14ac:dyDescent="0.2">
      <c r="B66" s="39"/>
      <c r="C66" s="58"/>
      <c r="D66" s="53"/>
      <c r="E66" s="17"/>
      <c r="F66" s="18"/>
      <c r="G66" s="36">
        <v>0</v>
      </c>
      <c r="H66" s="20"/>
      <c r="I66" s="46">
        <f t="shared" si="2"/>
        <v>7049</v>
      </c>
      <c r="J66" s="31"/>
      <c r="K66" s="37">
        <f>I66/SUM($E$11:E66)</f>
        <v>70.489999999999995</v>
      </c>
    </row>
    <row r="67" spans="2:11" x14ac:dyDescent="0.2">
      <c r="B67" s="39"/>
      <c r="C67" s="58"/>
      <c r="D67" s="53"/>
      <c r="E67" s="17"/>
      <c r="F67" s="18"/>
      <c r="G67" s="36">
        <v>0</v>
      </c>
      <c r="H67" s="20"/>
      <c r="I67" s="46">
        <f t="shared" si="2"/>
        <v>7049</v>
      </c>
      <c r="J67" s="31"/>
      <c r="K67" s="37">
        <f>I67/SUM($E$11:E67)</f>
        <v>70.489999999999995</v>
      </c>
    </row>
    <row r="68" spans="2:11" x14ac:dyDescent="0.2">
      <c r="B68" s="39"/>
      <c r="C68" s="58"/>
      <c r="D68" s="53"/>
      <c r="E68" s="17"/>
      <c r="F68" s="18"/>
      <c r="G68" s="36">
        <v>0</v>
      </c>
      <c r="H68" s="20"/>
      <c r="I68" s="46">
        <f t="shared" si="2"/>
        <v>7049</v>
      </c>
      <c r="J68" s="31"/>
      <c r="K68" s="37">
        <f>I68/SUM($E$11:E68)</f>
        <v>70.489999999999995</v>
      </c>
    </row>
    <row r="69" spans="2:11" x14ac:dyDescent="0.2">
      <c r="B69" s="39"/>
      <c r="C69" s="58"/>
      <c r="D69" s="53"/>
      <c r="E69" s="17"/>
      <c r="F69" s="18"/>
      <c r="G69" s="36">
        <v>0</v>
      </c>
      <c r="H69" s="20"/>
      <c r="I69" s="46">
        <f t="shared" si="2"/>
        <v>7049</v>
      </c>
      <c r="J69" s="31"/>
      <c r="K69" s="37">
        <f>I69/SUM($E$11:E69)</f>
        <v>70.489999999999995</v>
      </c>
    </row>
    <row r="70" spans="2:11" x14ac:dyDescent="0.2">
      <c r="B70" s="39"/>
      <c r="C70" s="58"/>
      <c r="D70" s="53"/>
      <c r="E70" s="17"/>
      <c r="F70" s="18"/>
      <c r="G70" s="36">
        <v>0</v>
      </c>
      <c r="H70" s="20"/>
      <c r="I70" s="46">
        <f t="shared" si="2"/>
        <v>7049</v>
      </c>
      <c r="J70" s="31"/>
      <c r="K70" s="37">
        <f>I70/SUM($E$11:E70)</f>
        <v>70.489999999999995</v>
      </c>
    </row>
    <row r="71" spans="2:11" x14ac:dyDescent="0.2">
      <c r="B71" s="39"/>
      <c r="C71" s="58"/>
      <c r="D71" s="53"/>
      <c r="E71" s="17"/>
      <c r="F71" s="18"/>
      <c r="G71" s="36">
        <v>0</v>
      </c>
      <c r="H71" s="20"/>
      <c r="I71" s="46">
        <f t="shared" si="2"/>
        <v>7049</v>
      </c>
      <c r="J71" s="31"/>
      <c r="K71" s="37">
        <f>I71/SUM($E$11:E71)</f>
        <v>70.489999999999995</v>
      </c>
    </row>
    <row r="72" spans="2:11" x14ac:dyDescent="0.2">
      <c r="B72" s="39"/>
      <c r="C72" s="58"/>
      <c r="D72" s="53"/>
      <c r="E72" s="17"/>
      <c r="F72" s="18"/>
      <c r="G72" s="36">
        <v>0</v>
      </c>
      <c r="H72" s="20"/>
      <c r="I72" s="46">
        <f t="shared" si="2"/>
        <v>7049</v>
      </c>
      <c r="J72" s="31"/>
      <c r="K72" s="37">
        <f>I72/SUM($E$11:E72)</f>
        <v>70.489999999999995</v>
      </c>
    </row>
    <row r="73" spans="2:11" x14ac:dyDescent="0.2">
      <c r="B73" s="39"/>
      <c r="C73" s="58"/>
      <c r="D73" s="53"/>
      <c r="E73" s="17"/>
      <c r="F73" s="18"/>
      <c r="G73" s="36">
        <v>0</v>
      </c>
      <c r="H73" s="20"/>
      <c r="I73" s="46">
        <f t="shared" si="2"/>
        <v>7049</v>
      </c>
      <c r="J73" s="31"/>
      <c r="K73" s="37">
        <f>I73/SUM($E$11:E73)</f>
        <v>70.489999999999995</v>
      </c>
    </row>
    <row r="74" spans="2:11" x14ac:dyDescent="0.2">
      <c r="B74" s="39"/>
      <c r="C74" s="58"/>
      <c r="D74" s="53"/>
      <c r="E74" s="17"/>
      <c r="F74" s="18"/>
      <c r="G74" s="36">
        <v>0</v>
      </c>
      <c r="H74" s="20"/>
      <c r="I74" s="46">
        <f t="shared" si="2"/>
        <v>7049</v>
      </c>
      <c r="J74" s="31"/>
      <c r="K74" s="37">
        <f>I74/SUM($E$11:E74)</f>
        <v>70.489999999999995</v>
      </c>
    </row>
    <row r="75" spans="2:11" x14ac:dyDescent="0.2">
      <c r="B75" s="39"/>
      <c r="C75" s="58"/>
      <c r="D75" s="53"/>
      <c r="E75" s="17"/>
      <c r="F75" s="18"/>
      <c r="G75" s="36">
        <v>0</v>
      </c>
      <c r="H75" s="20"/>
      <c r="I75" s="46">
        <f t="shared" si="2"/>
        <v>7049</v>
      </c>
      <c r="J75" s="31"/>
      <c r="K75" s="37">
        <f>I75/SUM($E$11:E75)</f>
        <v>70.489999999999995</v>
      </c>
    </row>
    <row r="76" spans="2:11" x14ac:dyDescent="0.2">
      <c r="B76" s="39"/>
      <c r="C76" s="58"/>
      <c r="D76" s="53"/>
      <c r="E76" s="17"/>
      <c r="F76" s="18"/>
      <c r="G76" s="36">
        <v>0</v>
      </c>
      <c r="H76" s="20"/>
      <c r="I76" s="46">
        <f t="shared" si="2"/>
        <v>7049</v>
      </c>
      <c r="J76" s="31"/>
      <c r="K76" s="37">
        <f>I76/SUM($E$11:E76)</f>
        <v>70.489999999999995</v>
      </c>
    </row>
    <row r="77" spans="2:11" x14ac:dyDescent="0.2">
      <c r="B77" s="39"/>
      <c r="C77" s="58"/>
      <c r="D77" s="53"/>
      <c r="E77" s="17"/>
      <c r="F77" s="18"/>
      <c r="G77" s="36">
        <v>0</v>
      </c>
      <c r="H77" s="20"/>
      <c r="I77" s="46">
        <f t="shared" si="2"/>
        <v>7049</v>
      </c>
      <c r="J77" s="31"/>
      <c r="K77" s="37">
        <f>I77/SUM($E$11:E77)</f>
        <v>70.489999999999995</v>
      </c>
    </row>
    <row r="78" spans="2:11" x14ac:dyDescent="0.2">
      <c r="B78" s="39"/>
      <c r="C78" s="58"/>
      <c r="D78" s="53"/>
      <c r="E78" s="17"/>
      <c r="F78" s="18"/>
      <c r="G78" s="36">
        <v>0</v>
      </c>
      <c r="H78" s="20"/>
      <c r="I78" s="46">
        <f>I49+G78</f>
        <v>7508</v>
      </c>
      <c r="J78" s="31"/>
      <c r="K78" s="37">
        <f>I78/SUM($E$11:E78)</f>
        <v>75.08</v>
      </c>
    </row>
    <row r="79" spans="2:11" x14ac:dyDescent="0.2">
      <c r="B79" s="39"/>
      <c r="C79" s="58"/>
      <c r="D79" s="53"/>
      <c r="E79" s="17"/>
      <c r="F79" s="18"/>
      <c r="G79" s="36">
        <v>0</v>
      </c>
      <c r="H79" s="20"/>
      <c r="I79" s="46">
        <f t="shared" si="2"/>
        <v>7508</v>
      </c>
      <c r="J79" s="31"/>
      <c r="K79" s="37">
        <f>I79/SUM($E$11:E79)</f>
        <v>75.08</v>
      </c>
    </row>
    <row r="80" spans="2:11" x14ac:dyDescent="0.2">
      <c r="B80" s="39"/>
      <c r="C80" s="58"/>
      <c r="D80" s="53"/>
      <c r="E80" s="17"/>
      <c r="F80" s="18"/>
      <c r="G80" s="36">
        <v>0</v>
      </c>
      <c r="H80" s="20"/>
      <c r="I80" s="46">
        <f t="shared" si="2"/>
        <v>7508</v>
      </c>
      <c r="J80" s="31"/>
      <c r="K80" s="37">
        <f>I80/SUM($E$11:E80)</f>
        <v>75.08</v>
      </c>
    </row>
    <row r="81" spans="2:11" x14ac:dyDescent="0.2">
      <c r="B81" s="39"/>
      <c r="C81" s="58"/>
      <c r="D81" s="53"/>
      <c r="E81" s="17"/>
      <c r="F81" s="18"/>
      <c r="G81" s="36">
        <v>0</v>
      </c>
      <c r="H81" s="20"/>
      <c r="I81" s="46">
        <f t="shared" si="2"/>
        <v>7508</v>
      </c>
      <c r="J81" s="31"/>
      <c r="K81" s="37">
        <f>I81/SUM($E$11:E81)</f>
        <v>75.08</v>
      </c>
    </row>
    <row r="82" spans="2:11" x14ac:dyDescent="0.2">
      <c r="B82" s="39"/>
      <c r="C82" s="58"/>
      <c r="D82" s="53"/>
      <c r="E82" s="17"/>
      <c r="F82" s="18"/>
      <c r="G82" s="36">
        <v>0</v>
      </c>
      <c r="H82" s="20"/>
      <c r="I82" s="46">
        <f t="shared" si="2"/>
        <v>7508</v>
      </c>
      <c r="J82" s="31"/>
      <c r="K82" s="37">
        <f>I82/SUM($E$11:E82)</f>
        <v>75.08</v>
      </c>
    </row>
    <row r="83" spans="2:11" x14ac:dyDescent="0.2">
      <c r="B83" s="39"/>
      <c r="C83" s="58"/>
      <c r="D83" s="53"/>
      <c r="E83" s="17"/>
      <c r="F83" s="18"/>
      <c r="G83" s="36">
        <v>0</v>
      </c>
      <c r="H83" s="20"/>
      <c r="I83" s="46">
        <f t="shared" si="2"/>
        <v>7508</v>
      </c>
      <c r="J83" s="31"/>
      <c r="K83" s="37">
        <f>I83/SUM($E$11:E83)</f>
        <v>75.08</v>
      </c>
    </row>
    <row r="84" spans="2:11" x14ac:dyDescent="0.2">
      <c r="B84" s="39"/>
      <c r="C84" s="58"/>
      <c r="D84" s="53"/>
      <c r="E84" s="17"/>
      <c r="F84" s="18"/>
      <c r="G84" s="36">
        <v>0</v>
      </c>
      <c r="H84" s="20"/>
      <c r="I84" s="46">
        <f t="shared" si="2"/>
        <v>7508</v>
      </c>
      <c r="J84" s="31"/>
      <c r="K84" s="37">
        <f>I84/SUM($E$11:E84)</f>
        <v>75.08</v>
      </c>
    </row>
    <row r="85" spans="2:11" ht="19" x14ac:dyDescent="0.25">
      <c r="B85" s="39"/>
      <c r="C85" s="58"/>
      <c r="D85" s="53"/>
      <c r="E85" s="129"/>
      <c r="F85" s="24"/>
    </row>
    <row r="86" spans="2:11" ht="4.75" customHeight="1" x14ac:dyDescent="0.2">
      <c r="B86" s="39"/>
      <c r="C86" s="58"/>
      <c r="D86" s="53"/>
      <c r="E86" s="17"/>
      <c r="F86" s="18"/>
      <c r="G86" s="19"/>
      <c r="H86" s="20"/>
      <c r="I86" s="20"/>
      <c r="J86" s="31"/>
      <c r="K86" s="17"/>
    </row>
    <row r="87" spans="2:11" ht="19" x14ac:dyDescent="0.25">
      <c r="B87" s="39"/>
      <c r="C87" s="58"/>
      <c r="D87" s="53"/>
      <c r="G87" s="25">
        <f>SUM(G27:G84)</f>
        <v>-1456</v>
      </c>
      <c r="H87" s="20"/>
      <c r="I87" s="19"/>
      <c r="J87" s="31"/>
      <c r="K87" s="22">
        <f>I87/3400</f>
        <v>0</v>
      </c>
    </row>
    <row r="88" spans="2:11" x14ac:dyDescent="0.2">
      <c r="D88" s="45"/>
    </row>
    <row r="89" spans="2:11" x14ac:dyDescent="0.2">
      <c r="D89" s="45"/>
    </row>
    <row r="90" spans="2:11" x14ac:dyDescent="0.2">
      <c r="D90" s="45"/>
    </row>
    <row r="91" spans="2:11" x14ac:dyDescent="0.2">
      <c r="D91" s="45"/>
    </row>
  </sheetData>
  <mergeCells count="1">
    <mergeCell ref="B8:G8"/>
  </mergeCells>
  <conditionalFormatting sqref="B60:B84">
    <cfRule type="expression" dxfId="475" priority="12">
      <formula>AND(ISNUMBER(SEARCH("call", B60)), J60="expired")</formula>
    </cfRule>
    <cfRule type="expression" dxfId="474" priority="13">
      <formula>AND(ISNUMBER(SEARCH("call", B60)), J60="assigned")</formula>
    </cfRule>
    <cfRule type="expression" dxfId="473" priority="14">
      <formula>J60="assigned"</formula>
    </cfRule>
    <cfRule type="expression" dxfId="472" priority="15">
      <formula>J60="expired"</formula>
    </cfRule>
  </conditionalFormatting>
  <conditionalFormatting sqref="B27:B59">
    <cfRule type="expression" dxfId="471" priority="1" stopIfTrue="1">
      <formula>J27="closed"</formula>
    </cfRule>
    <cfRule type="expression" dxfId="470" priority="2" stopIfTrue="1">
      <formula>J27="ROLL"</formula>
    </cfRule>
    <cfRule type="expression" dxfId="469" priority="3" stopIfTrue="1">
      <formula>AND(ISNUMBER(SEARCH("call", B27)), J27="expired")</formula>
    </cfRule>
    <cfRule type="expression" dxfId="468" priority="4" stopIfTrue="1">
      <formula>AND(ISNUMBER(SEARCH("call", B27)), J27="assigned")</formula>
    </cfRule>
    <cfRule type="expression" dxfId="467" priority="5" stopIfTrue="1">
      <formula>J27="assigned"</formula>
    </cfRule>
    <cfRule type="expression" dxfId="466" priority="6">
      <formula>J27="expired"</formula>
    </cfRule>
  </conditionalFormatting>
  <pageMargins left="0.7" right="0.7" top="0.75" bottom="0.75" header="0.3" footer="0.3"/>
  <pageSetup paperSize="0" orientation="portrait" r:id="rId1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BE10-1084-A441-8642-8C8E9EDDBEEA}">
  <sheetPr codeName="Sheet35"/>
  <dimension ref="B1:N79"/>
  <sheetViews>
    <sheetView topLeftCell="A2" zoomScale="120" zoomScaleNormal="120" workbookViewId="0">
      <selection activeCell="J48" sqref="J48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312</v>
      </c>
      <c r="C1" s="197"/>
    </row>
    <row r="2" spans="2:14" x14ac:dyDescent="0.2">
      <c r="B2" s="1" t="s">
        <v>280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-301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E79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313</v>
      </c>
      <c r="C41" s="58" t="d">
        <v>2025-02-19</v>
      </c>
      <c r="D41" s="16"/>
      <c r="E41" s="155"/>
      <c r="F41" s="21"/>
      <c r="G41" s="36">
        <v>-95</v>
      </c>
      <c r="H41" s="20"/>
      <c r="I41" s="36">
        <f>I13+G41</f>
        <v>-95</v>
      </c>
      <c r="J41" s="31" t="s">
        <v>10</v>
      </c>
      <c r="K41" s="36" t="e">
        <f>I41/SUM($E$11:E41)</f>
        <v>#DIV/0!</v>
      </c>
    </row>
    <row r="42" spans="2:11" ht="16" x14ac:dyDescent="0.2">
      <c r="B42" s="39" t="s">
        <v>314</v>
      </c>
      <c r="C42" s="58" t="d">
        <v>2025-03-04</v>
      </c>
      <c r="D42" s="16"/>
      <c r="E42" s="155"/>
      <c r="F42" s="21"/>
      <c r="G42" s="36">
        <v>-28</v>
      </c>
      <c r="H42" s="17"/>
      <c r="I42" s="36">
        <f t="shared" ref="I42:I76" si="2">I41+G42</f>
        <v>-123</v>
      </c>
      <c r="J42" s="31" t="s">
        <v>10</v>
      </c>
      <c r="K42" s="36" t="e">
        <f>I42/SUM($E$11:E42)</f>
        <v>#DIV/0!</v>
      </c>
    </row>
    <row r="43" spans="2:11" ht="16" x14ac:dyDescent="0.2">
      <c r="B43" s="39" t="s">
        <v>315</v>
      </c>
      <c r="C43" s="58" t="d">
        <v>2025-03-10</v>
      </c>
      <c r="D43" s="16"/>
      <c r="E43" s="155"/>
      <c r="G43" s="36">
        <v>-30</v>
      </c>
      <c r="H43" s="17"/>
      <c r="I43" s="36">
        <f t="shared" si="2"/>
        <v>-153</v>
      </c>
      <c r="J43" s="31" t="s">
        <v>10</v>
      </c>
      <c r="K43" s="36" t="e">
        <f>I43/SUM($E$11:E43)</f>
        <v>#DIV/0!</v>
      </c>
    </row>
    <row r="44" spans="2:11" ht="16" x14ac:dyDescent="0.2">
      <c r="B44" s="39" t="s">
        <v>357</v>
      </c>
      <c r="C44" s="58" t="d">
        <v>2025-03-24</v>
      </c>
      <c r="D44" s="16"/>
      <c r="E44" s="155"/>
      <c r="F44" s="18"/>
      <c r="G44" s="36">
        <v>-30</v>
      </c>
      <c r="H44" s="17"/>
      <c r="I44" s="36">
        <f t="shared" si="2"/>
        <v>-183</v>
      </c>
      <c r="J44" s="31" t="s">
        <v>10</v>
      </c>
      <c r="K44" s="36" t="e">
        <f>I44/SUM($E$11:E44)</f>
        <v>#DIV/0!</v>
      </c>
    </row>
    <row r="45" spans="2:11" ht="16" x14ac:dyDescent="0.2">
      <c r="B45" s="39" t="s">
        <v>466</v>
      </c>
      <c r="C45" s="58" t="d">
        <v>2025-05-13</v>
      </c>
      <c r="D45" s="16"/>
      <c r="E45" s="155"/>
      <c r="F45" s="18"/>
      <c r="G45" s="36">
        <v>-68</v>
      </c>
      <c r="H45" s="17"/>
      <c r="I45" s="36">
        <f t="shared" si="2"/>
        <v>-251</v>
      </c>
      <c r="J45" s="31" t="s">
        <v>281</v>
      </c>
      <c r="K45" s="36" t="e">
        <f>I45/SUM($E$11:E45)</f>
        <v>#DIV/0!</v>
      </c>
    </row>
    <row r="46" spans="2:11" ht="32" x14ac:dyDescent="0.2">
      <c r="B46" s="39" t="s">
        <v>467</v>
      </c>
      <c r="C46" s="58" t="d">
        <v>2025-05-23</v>
      </c>
      <c r="D46" s="16"/>
      <c r="E46" s="155"/>
      <c r="F46" s="18"/>
      <c r="G46" s="36">
        <v>-1</v>
      </c>
      <c r="H46" s="17"/>
      <c r="I46" s="36">
        <f>I45+G46</f>
        <v>-252</v>
      </c>
      <c r="J46" s="31" t="s">
        <v>281</v>
      </c>
      <c r="K46" s="36" t="e">
        <f>I46/SUM($E$11:E46)</f>
        <v>#DIV/0!</v>
      </c>
    </row>
    <row r="47" spans="2:11" ht="32" x14ac:dyDescent="0.2">
      <c r="B47" s="39" t="s">
        <v>468</v>
      </c>
      <c r="C47" s="58" t="d">
        <v>2025-05-30</v>
      </c>
      <c r="D47" s="16"/>
      <c r="E47" s="155"/>
      <c r="F47" s="18"/>
      <c r="G47" s="36">
        <v>-49</v>
      </c>
      <c r="H47" s="17"/>
      <c r="I47" s="36">
        <f t="shared" si="2"/>
        <v>-301</v>
      </c>
      <c r="J47" s="31" t="s">
        <v>10</v>
      </c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-301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-301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-301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-301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-301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-301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-301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-301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-301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-301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-301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-301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-301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-301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-301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-301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-301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-301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-301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-301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-301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-301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-301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-301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-301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-301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-301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-301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-301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-301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465" priority="13" stopIfTrue="1">
      <formula>J77="assigned"</formula>
    </cfRule>
    <cfRule type="expression" dxfId="464" priority="14">
      <formula>J77="expired"</formula>
    </cfRule>
  </conditionalFormatting>
  <conditionalFormatting sqref="B77:B116">
    <cfRule type="expression" dxfId="463" priority="11">
      <formula>AND(ISNUMBER(SEARCH("call", B77)), J77="expired")</formula>
    </cfRule>
    <cfRule type="expression" dxfId="462" priority="12">
      <formula>AND(ISNUMBER(SEARCH("call", B77)), J77="assigned")</formula>
    </cfRule>
  </conditionalFormatting>
  <conditionalFormatting sqref="B48:B76 B41:B45">
    <cfRule type="expression" dxfId="461" priority="6" stopIfTrue="1">
      <formula>J41="ROLL"</formula>
    </cfRule>
    <cfRule type="expression" dxfId="460" priority="7" stopIfTrue="1">
      <formula>AND(ISNUMBER(SEARCH("call", B41)), J41="expired")</formula>
    </cfRule>
    <cfRule type="expression" dxfId="459" priority="8" stopIfTrue="1">
      <formula>AND(ISNUMBER(SEARCH("call", B41)), J41="assigned")</formula>
    </cfRule>
    <cfRule type="expression" dxfId="458" priority="9" stopIfTrue="1">
      <formula>J41="assigned"</formula>
    </cfRule>
    <cfRule type="expression" dxfId="457" priority="10">
      <formula>J41="expired"</formula>
    </cfRule>
  </conditionalFormatting>
  <conditionalFormatting sqref="B46:B47">
    <cfRule type="expression" dxfId="456" priority="1" stopIfTrue="1">
      <formula>J46="ROLL"</formula>
    </cfRule>
    <cfRule type="expression" dxfId="455" priority="2" stopIfTrue="1">
      <formula>AND(ISNUMBER(SEARCH("call", B46)), J46="expired")</formula>
    </cfRule>
    <cfRule type="expression" dxfId="454" priority="3" stopIfTrue="1">
      <formula>AND(ISNUMBER(SEARCH("call", B46)), J46="assigned")</formula>
    </cfRule>
    <cfRule type="expression" dxfId="453" priority="4" stopIfTrue="1">
      <formula>J46="assigned"</formula>
    </cfRule>
    <cfRule type="expression" dxfId="452" priority="5">
      <formula>J46="expired"</formula>
    </cfRule>
  </conditionalFormatting>
  <pageMargins left="0.7" right="0.7" top="0.75" bottom="0.75" header="0.3" footer="0.3"/>
  <pageSetup paperSize="0" orientation="portrait" r:id="rId1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2D06-8BA7-B940-A168-09FD89E5D0BF}">
  <sheetPr codeName="Sheet45"/>
  <dimension ref="B1:N79"/>
  <sheetViews>
    <sheetView topLeftCell="A9" zoomScale="120" zoomScaleNormal="120" workbookViewId="0">
      <selection activeCell="J42" sqref="J42:J44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312</v>
      </c>
      <c r="C1" s="197"/>
    </row>
    <row r="2" spans="2:14" x14ac:dyDescent="0.2">
      <c r="B2" s="1" t="s">
        <v>280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-75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E79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384</v>
      </c>
      <c r="C41" s="58" t="d">
        <v>2025-03-21</v>
      </c>
      <c r="D41" s="16"/>
      <c r="E41" s="155"/>
      <c r="F41" s="21"/>
      <c r="G41" s="36">
        <v>-75</v>
      </c>
      <c r="H41" s="20"/>
      <c r="I41" s="36">
        <f>I13+G41</f>
        <v>-75</v>
      </c>
      <c r="J41" s="31" t="s">
        <v>10</v>
      </c>
      <c r="K41" s="36" t="e">
        <f>I41/SUM($E$11:E41)</f>
        <v>#DIV/0!</v>
      </c>
    </row>
    <row r="42" spans="2:11" x14ac:dyDescent="0.2">
      <c r="B42" s="39"/>
      <c r="C42" s="58"/>
      <c r="D42" s="16"/>
      <c r="E42" s="155"/>
      <c r="F42" s="21"/>
      <c r="G42" s="36">
        <v>0</v>
      </c>
      <c r="H42" s="17"/>
      <c r="I42" s="36">
        <f t="shared" ref="I42:I76" si="2">I41+G42</f>
        <v>-75</v>
      </c>
      <c r="J42" s="31"/>
      <c r="K42" s="36" t="e">
        <f>I42/SUM($E$11:E42)</f>
        <v>#DIV/0!</v>
      </c>
    </row>
    <row r="43" spans="2:11" x14ac:dyDescent="0.2">
      <c r="B43" s="39"/>
      <c r="C43" s="58"/>
      <c r="D43" s="16"/>
      <c r="E43" s="155"/>
      <c r="G43" s="36">
        <v>0</v>
      </c>
      <c r="H43" s="17"/>
      <c r="I43" s="36">
        <f t="shared" si="2"/>
        <v>-75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-75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-75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-75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-75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-75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-75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-75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-75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-75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-75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-75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-75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-75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-75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-75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-75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-75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-75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-75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-75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-75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-75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-75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-75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-75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-75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-75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-75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-75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-75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-75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-75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-75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-75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451" priority="8" stopIfTrue="1">
      <formula>J77="assigned"</formula>
    </cfRule>
    <cfRule type="expression" dxfId="450" priority="9">
      <formula>J77="expired"</formula>
    </cfRule>
  </conditionalFormatting>
  <conditionalFormatting sqref="B77:B116">
    <cfRule type="expression" dxfId="449" priority="6">
      <formula>AND(ISNUMBER(SEARCH("call", B77)), J77="expired")</formula>
    </cfRule>
    <cfRule type="expression" dxfId="448" priority="7">
      <formula>AND(ISNUMBER(SEARCH("call", B77)), J77="assigned")</formula>
    </cfRule>
  </conditionalFormatting>
  <conditionalFormatting sqref="B41:B76">
    <cfRule type="expression" dxfId="447" priority="1" stopIfTrue="1">
      <formula>J41="ROLL"</formula>
    </cfRule>
    <cfRule type="expression" dxfId="446" priority="2" stopIfTrue="1">
      <formula>AND(ISNUMBER(SEARCH("call", B41)), J41="expired")</formula>
    </cfRule>
    <cfRule type="expression" dxfId="445" priority="3" stopIfTrue="1">
      <formula>AND(ISNUMBER(SEARCH("call", B41)), J41="assigned")</formula>
    </cfRule>
    <cfRule type="expression" dxfId="444" priority="4" stopIfTrue="1">
      <formula>J41="assigned"</formula>
    </cfRule>
    <cfRule type="expression" dxfId="443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868B-BF09-9043-9F4D-827B258DD0BC}">
  <sheetPr codeName="Sheet59"/>
  <dimension ref="B1:N79"/>
  <sheetViews>
    <sheetView zoomScale="120" zoomScaleNormal="120" workbookViewId="0">
      <selection activeCell="B3" sqref="B3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144</v>
      </c>
      <c r="C1" s="197"/>
    </row>
    <row r="2" spans="2:14" x14ac:dyDescent="0.2">
      <c r="B2" s="1" t="s">
        <v>529</v>
      </c>
      <c r="C2" s="56"/>
      <c r="D2" s="2"/>
      <c r="F2" s="3"/>
      <c r="G2" s="4"/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-69</v>
      </c>
      <c r="I3" t="s">
        <v>279</v>
      </c>
      <c r="J3" s="30">
        <v>28.99</v>
      </c>
      <c r="K3" s="6"/>
    </row>
    <row r="4" spans="2:14" x14ac:dyDescent="0.2">
      <c r="B4" s="1"/>
      <c r="C4" s="56"/>
      <c r="D4" s="2"/>
      <c r="F4" s="3" t="s">
        <v>2</v>
      </c>
      <c r="G4" s="9">
        <f>SUM(E11:E37)</f>
        <v>0</v>
      </c>
    </row>
    <row r="5" spans="2:14" x14ac:dyDescent="0.2">
      <c r="C5" s="56"/>
      <c r="D5" s="2"/>
      <c r="F5" s="3"/>
      <c r="G5" s="4"/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  <c r="N12" s="144" t="s">
        <v>268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  <c r="N13" s="143" t="s">
        <v>269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  <c r="N14" s="145" t="s">
        <v>270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  <c r="N15" s="146" t="s">
        <v>271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  <c r="N16" s="147" t="s">
        <v>266</v>
      </c>
    </row>
    <row r="17" spans="2:14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  <c r="N17" s="164" t="s">
        <v>493</v>
      </c>
    </row>
    <row r="18" spans="2:14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4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4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4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4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4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4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4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4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4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4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4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4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4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4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20" customHeight="1" x14ac:dyDescent="0.2">
      <c r="B41" s="39" t="s">
        <v>154</v>
      </c>
      <c r="C41" s="58" t="d">
        <v>2024-11-18</v>
      </c>
      <c r="D41" s="16"/>
      <c r="E41" s="155"/>
      <c r="F41" s="21"/>
      <c r="G41" s="36">
        <v>-53</v>
      </c>
      <c r="H41" s="20"/>
      <c r="I41" s="36">
        <f>I13+G41</f>
        <v>-53</v>
      </c>
      <c r="J41" s="31" t="s">
        <v>10</v>
      </c>
      <c r="K41" s="36" t="e">
        <f>I41/SUM($E$11:E41)</f>
        <v>#DIV/0!</v>
      </c>
    </row>
    <row r="42" spans="2:11" ht="16" x14ac:dyDescent="0.2">
      <c r="B42" s="39" t="s">
        <v>528</v>
      </c>
      <c r="C42" s="58" t="d">
        <v>2025-08-11</v>
      </c>
      <c r="D42" s="16"/>
      <c r="E42" s="155"/>
      <c r="F42" s="21">
        <v>32.96</v>
      </c>
      <c r="G42" s="36">
        <v>-16</v>
      </c>
      <c r="H42" s="17"/>
      <c r="I42" s="36">
        <f t="shared" ref="I42:I76" si="2">I41+G42</f>
        <v>-69</v>
      </c>
      <c r="J42" s="31"/>
      <c r="K42" s="36" t="e">
        <f>I42/SUM($E$11:E42)</f>
        <v>#DIV/0!</v>
      </c>
    </row>
    <row r="43" spans="2:11" x14ac:dyDescent="0.2">
      <c r="B43" s="39"/>
      <c r="C43" s="58"/>
      <c r="D43" s="16"/>
      <c r="E43" s="155"/>
      <c r="G43" s="36">
        <v>0</v>
      </c>
      <c r="H43" s="17"/>
      <c r="I43" s="36">
        <f t="shared" si="2"/>
        <v>-69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-69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-69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-69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-69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-69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-69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-69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-69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-69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-69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-69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-69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-69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-69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-69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-69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-69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-69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-69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-69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-69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-69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-69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-69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-69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-69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-69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-69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-69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-69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-69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-69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-69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-69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442" priority="13" stopIfTrue="1">
      <formula>J77="assigned"</formula>
    </cfRule>
    <cfRule type="expression" dxfId="441" priority="14">
      <formula>J77="expired"</formula>
    </cfRule>
  </conditionalFormatting>
  <conditionalFormatting sqref="B77:B116">
    <cfRule type="expression" dxfId="440" priority="11">
      <formula>AND(ISNUMBER(SEARCH("call", B77)), J77="expired")</formula>
    </cfRule>
    <cfRule type="expression" dxfId="439" priority="12">
      <formula>AND(ISNUMBER(SEARCH("call", B77)), J77="assigned")</formula>
    </cfRule>
  </conditionalFormatting>
  <conditionalFormatting sqref="B43:B76">
    <cfRule type="expression" dxfId="438" priority="5" stopIfTrue="1">
      <formula>J43="closed"</formula>
    </cfRule>
    <cfRule type="expression" dxfId="437" priority="6" stopIfTrue="1">
      <formula>J43="ROLL"</formula>
    </cfRule>
    <cfRule type="expression" dxfId="436" priority="7" stopIfTrue="1">
      <formula>AND(ISNUMBER(SEARCH("call", B43)), J43="expired")</formula>
    </cfRule>
    <cfRule type="expression" dxfId="435" priority="8" stopIfTrue="1">
      <formula>AND(ISNUMBER(SEARCH("call", B43)), J43="assigned")</formula>
    </cfRule>
    <cfRule type="expression" dxfId="434" priority="9" stopIfTrue="1">
      <formula>J43="assigned"</formula>
    </cfRule>
    <cfRule type="expression" dxfId="433" priority="10">
      <formula>J43="expired"</formula>
    </cfRule>
  </conditionalFormatting>
  <conditionalFormatting sqref="B41:B42">
    <cfRule type="expression" dxfId="432" priority="1">
      <formula>AND(ISNUMBER(SEARCH("call", B41)), J41="expired")</formula>
    </cfRule>
    <cfRule type="expression" dxfId="431" priority="2">
      <formula>AND(ISNUMBER(SEARCH("call", B41)), J41="assigned")</formula>
    </cfRule>
    <cfRule type="expression" dxfId="430" priority="3">
      <formula>J41="assigned"</formula>
    </cfRule>
    <cfRule type="expression" dxfId="429" priority="4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5D5A-363E-CF4D-A325-07E13E197756}">
  <sheetPr codeName="Sheet28"/>
  <dimension ref="B1:L68"/>
  <sheetViews>
    <sheetView zoomScale="130" zoomScaleNormal="130" workbookViewId="0">
      <pane xSplit="1" ySplit="10" topLeftCell="B11" activePane="bottomRight" state="frozen"/>
      <selection activeCell="A55" sqref="A55"/>
      <selection pane="topRight" activeCell="A55" sqref="A55"/>
      <selection pane="bottomLeft" activeCell="A55" sqref="A55"/>
      <selection pane="bottomRight" activeCell="B1" sqref="B1"/>
    </sheetView>
  </sheetViews>
  <sheetFormatPr baseColWidth="10" defaultColWidth="8.83203125" defaultRowHeight="15" x14ac:dyDescent="0.2"/>
  <cols>
    <col min="1" max="1" width="6" style="70" customWidth="1"/>
    <col min="2" max="2" width="34.83203125" style="71" customWidth="1"/>
    <col min="3" max="3" width="16.33203125" style="109" customWidth="1"/>
    <col min="4" max="4" width="8.33203125" style="70" customWidth="1"/>
    <col min="5" max="5" width="10.83203125" style="70" customWidth="1"/>
    <col min="6" max="6" width="9.6640625" style="70" bestFit="1" customWidth="1"/>
    <col min="7" max="7" width="13.83203125" style="70" customWidth="1"/>
    <col min="8" max="8" width="3.5" style="70" customWidth="1"/>
    <col min="9" max="9" width="12.1640625" style="70" customWidth="1"/>
    <col min="10" max="10" width="29" style="71" customWidth="1"/>
    <col min="11" max="11" width="8.83203125" style="72"/>
    <col min="12" max="12" width="26.6640625" style="70" customWidth="1"/>
    <col min="13" max="16384" width="8.83203125" style="70"/>
  </cols>
  <sheetData>
    <row r="1" spans="2:11" ht="17" x14ac:dyDescent="0.2">
      <c r="B1" s="108" t="s">
        <v>248</v>
      </c>
    </row>
    <row r="2" spans="2:11" x14ac:dyDescent="0.2">
      <c r="B2" s="67"/>
      <c r="C2" s="110"/>
      <c r="D2" s="72"/>
      <c r="E2" s="72"/>
      <c r="F2" s="74"/>
      <c r="G2" s="75"/>
    </row>
    <row r="3" spans="2:11" ht="19" x14ac:dyDescent="0.2">
      <c r="B3" s="111"/>
      <c r="C3" s="112"/>
      <c r="D3" s="77"/>
      <c r="E3" s="77"/>
      <c r="F3" s="78" t="s">
        <v>0</v>
      </c>
      <c r="G3" s="79">
        <f>IF(ISERROR(SUM(G24,G64)/G4),SUM(G24,G64),SUM(G24,G64)/G4)</f>
        <v>4.9000000000000004</v>
      </c>
      <c r="H3" s="70" t="s">
        <v>1</v>
      </c>
      <c r="J3" s="80">
        <v>16</v>
      </c>
      <c r="K3" s="77"/>
    </row>
    <row r="4" spans="2:11" x14ac:dyDescent="0.2">
      <c r="B4" s="113"/>
      <c r="C4" s="110"/>
      <c r="D4" s="72"/>
      <c r="E4" s="72"/>
      <c r="F4" s="74" t="s">
        <v>2</v>
      </c>
      <c r="G4" s="81">
        <f>SUM(E11:E131)</f>
        <v>1000</v>
      </c>
    </row>
    <row r="5" spans="2:11" x14ac:dyDescent="0.2">
      <c r="C5" s="110"/>
      <c r="D5" s="72"/>
      <c r="E5" s="72"/>
      <c r="F5" s="74"/>
      <c r="G5" s="75"/>
    </row>
    <row r="6" spans="2:11" x14ac:dyDescent="0.2">
      <c r="C6" s="106"/>
      <c r="D6" s="83"/>
      <c r="E6" s="83"/>
      <c r="F6" s="84"/>
      <c r="G6" s="85"/>
      <c r="H6" s="69"/>
      <c r="I6" s="69"/>
      <c r="J6" s="86"/>
      <c r="K6" s="83"/>
    </row>
    <row r="7" spans="2:11" ht="6" customHeight="1" x14ac:dyDescent="0.2">
      <c r="B7" s="67"/>
      <c r="C7" s="106"/>
      <c r="D7" s="83"/>
      <c r="E7" s="83"/>
      <c r="F7" s="84"/>
      <c r="G7" s="85"/>
      <c r="H7" s="69"/>
      <c r="I7" s="69"/>
      <c r="J7" s="86"/>
      <c r="K7" s="83"/>
    </row>
    <row r="8" spans="2:11" s="90" customFormat="1" ht="12" x14ac:dyDescent="0.2">
      <c r="B8" s="199" t="s">
        <v>3</v>
      </c>
      <c r="C8" s="199"/>
      <c r="D8" s="199"/>
      <c r="E8" s="199"/>
      <c r="F8" s="199"/>
      <c r="G8" s="199"/>
      <c r="H8" s="87"/>
      <c r="I8" s="88" t="s">
        <v>4</v>
      </c>
      <c r="J8" s="89"/>
      <c r="K8" s="88" t="s">
        <v>5</v>
      </c>
    </row>
    <row r="9" spans="2:11" ht="16" x14ac:dyDescent="0.2">
      <c r="B9" s="114" t="s">
        <v>11</v>
      </c>
      <c r="C9" s="115" t="s">
        <v>6</v>
      </c>
      <c r="D9" s="92" t="s">
        <v>39</v>
      </c>
      <c r="E9" s="92" t="s">
        <v>2</v>
      </c>
      <c r="F9" s="93" t="s">
        <v>7</v>
      </c>
      <c r="G9" s="94" t="s">
        <v>8</v>
      </c>
      <c r="H9" s="92"/>
      <c r="I9" s="92"/>
      <c r="J9" s="95"/>
      <c r="K9" s="92"/>
    </row>
    <row r="10" spans="2:11" ht="5.5" customHeight="1" x14ac:dyDescent="0.2">
      <c r="B10" s="114"/>
      <c r="C10" s="115"/>
      <c r="D10" s="92"/>
      <c r="E10" s="92"/>
      <c r="F10" s="93"/>
      <c r="G10" s="94"/>
      <c r="H10" s="92"/>
      <c r="I10" s="92"/>
      <c r="J10" s="95"/>
      <c r="K10" s="92"/>
    </row>
    <row r="11" spans="2:11" ht="16" x14ac:dyDescent="0.2">
      <c r="B11" s="67" t="s">
        <v>23</v>
      </c>
      <c r="C11" s="106" t="d">
        <v>2025-01-27</v>
      </c>
      <c r="D11" s="96"/>
      <c r="E11" s="83">
        <v>1000</v>
      </c>
      <c r="F11" s="116">
        <v>4.9000000000000004</v>
      </c>
      <c r="G11" s="99">
        <f>E11*F11</f>
        <v>4900</v>
      </c>
      <c r="H11" s="69"/>
      <c r="I11" s="99">
        <f>G11</f>
        <v>4900</v>
      </c>
      <c r="J11" s="86"/>
      <c r="K11" s="105">
        <f>IF(ISERROR(I11/$G$4),0,I11/SUM($E$11:E11))</f>
        <v>4.9000000000000004</v>
      </c>
    </row>
    <row r="12" spans="2:11" x14ac:dyDescent="0.2">
      <c r="B12" s="67"/>
      <c r="C12" s="106"/>
      <c r="D12" s="96"/>
      <c r="E12" s="83"/>
      <c r="F12" s="116"/>
      <c r="G12" s="99">
        <f>E12*F12</f>
        <v>0</v>
      </c>
      <c r="H12" s="69"/>
      <c r="I12" s="99">
        <f>I11+G12</f>
        <v>4900</v>
      </c>
      <c r="J12" s="86"/>
      <c r="K12" s="105">
        <f>IF(ISERROR(I12/$G$4),0,I12/SUM($E$11:E12))</f>
        <v>4.9000000000000004</v>
      </c>
    </row>
    <row r="13" spans="2:11" x14ac:dyDescent="0.2">
      <c r="B13" s="67"/>
      <c r="C13" s="106"/>
      <c r="D13" s="96"/>
      <c r="E13" s="83"/>
      <c r="F13" s="116"/>
      <c r="G13" s="99">
        <f>E13*F13</f>
        <v>0</v>
      </c>
      <c r="H13" s="69"/>
      <c r="I13" s="99">
        <f>I12+G13</f>
        <v>4900</v>
      </c>
      <c r="J13" s="86"/>
      <c r="K13" s="105">
        <f>IF(ISERROR(I13/$G$4),0,I13/SUM($E$11:E13))</f>
        <v>4.9000000000000004</v>
      </c>
    </row>
    <row r="14" spans="2:11" x14ac:dyDescent="0.2">
      <c r="B14" s="67"/>
      <c r="C14" s="106"/>
      <c r="D14" s="96"/>
      <c r="E14" s="83"/>
      <c r="F14" s="116"/>
      <c r="G14" s="99">
        <f>E14*F14</f>
        <v>0</v>
      </c>
      <c r="H14" s="69"/>
      <c r="I14" s="99">
        <f>I13+G14</f>
        <v>4900</v>
      </c>
      <c r="J14" s="86"/>
      <c r="K14" s="105">
        <f>IF(ISERROR(I14/$G$4),0,I14/SUM($E$11:E14))</f>
        <v>4.9000000000000004</v>
      </c>
    </row>
    <row r="15" spans="2:11" x14ac:dyDescent="0.2">
      <c r="B15" s="67"/>
      <c r="C15" s="106"/>
      <c r="D15" s="96"/>
      <c r="E15" s="83"/>
      <c r="F15" s="116"/>
      <c r="G15" s="99">
        <f t="shared" ref="G15:G22" si="0">E15*F15</f>
        <v>0</v>
      </c>
      <c r="H15" s="69"/>
      <c r="I15" s="99">
        <f t="shared" ref="I15:I22" si="1">I14+G15</f>
        <v>4900</v>
      </c>
      <c r="J15" s="86"/>
      <c r="K15" s="105">
        <f>IF(ISERROR(I15/$G$4),0,I15/SUM($E$11:E15))</f>
        <v>4.9000000000000004</v>
      </c>
    </row>
    <row r="16" spans="2:11" x14ac:dyDescent="0.2">
      <c r="B16" s="67"/>
      <c r="C16" s="106"/>
      <c r="D16" s="96"/>
      <c r="E16" s="83"/>
      <c r="F16" s="116"/>
      <c r="G16" s="99">
        <f t="shared" si="0"/>
        <v>0</v>
      </c>
      <c r="H16" s="69"/>
      <c r="I16" s="99">
        <f t="shared" si="1"/>
        <v>4900</v>
      </c>
      <c r="J16" s="86"/>
      <c r="K16" s="105">
        <f>IF(ISERROR(I16/$G$4),0,I16/SUM($E$11:E16))</f>
        <v>4.9000000000000004</v>
      </c>
    </row>
    <row r="17" spans="2:12" x14ac:dyDescent="0.2">
      <c r="B17" s="67"/>
      <c r="C17" s="106"/>
      <c r="D17" s="96"/>
      <c r="E17" s="83"/>
      <c r="F17" s="116"/>
      <c r="G17" s="99">
        <f t="shared" si="0"/>
        <v>0</v>
      </c>
      <c r="H17" s="69"/>
      <c r="I17" s="99">
        <f t="shared" si="1"/>
        <v>4900</v>
      </c>
      <c r="J17" s="86"/>
      <c r="K17" s="105">
        <f>IF(ISERROR(I17/$G$4),0,I17/SUM($E$11:E17))</f>
        <v>4.9000000000000004</v>
      </c>
    </row>
    <row r="18" spans="2:12" x14ac:dyDescent="0.2">
      <c r="B18" s="67"/>
      <c r="C18" s="106"/>
      <c r="D18" s="96"/>
      <c r="E18" s="83"/>
      <c r="F18" s="116"/>
      <c r="G18" s="99">
        <f t="shared" si="0"/>
        <v>0</v>
      </c>
      <c r="H18" s="69"/>
      <c r="I18" s="99">
        <f t="shared" si="1"/>
        <v>4900</v>
      </c>
      <c r="J18" s="86"/>
      <c r="K18" s="105">
        <f>IF(ISERROR(I18/$G$4),0,I18/SUM($E$11:E18))</f>
        <v>4.9000000000000004</v>
      </c>
    </row>
    <row r="19" spans="2:12" x14ac:dyDescent="0.2">
      <c r="B19" s="67"/>
      <c r="C19" s="106"/>
      <c r="D19" s="96"/>
      <c r="E19" s="83"/>
      <c r="F19" s="116"/>
      <c r="G19" s="99">
        <f t="shared" si="0"/>
        <v>0</v>
      </c>
      <c r="H19" s="69"/>
      <c r="I19" s="99">
        <f t="shared" si="1"/>
        <v>4900</v>
      </c>
      <c r="J19" s="86"/>
      <c r="K19" s="105">
        <f>IF(ISERROR(I19/$G$4),0,I19/SUM($E$11:E19))</f>
        <v>4.9000000000000004</v>
      </c>
    </row>
    <row r="20" spans="2:12" x14ac:dyDescent="0.2">
      <c r="B20" s="67"/>
      <c r="C20" s="106"/>
      <c r="D20" s="96"/>
      <c r="E20" s="83"/>
      <c r="F20" s="116"/>
      <c r="G20" s="99">
        <f t="shared" si="0"/>
        <v>0</v>
      </c>
      <c r="H20" s="69"/>
      <c r="I20" s="99">
        <f t="shared" si="1"/>
        <v>4900</v>
      </c>
      <c r="J20" s="86"/>
      <c r="K20" s="105">
        <f>IF(ISERROR(I20/$G$4),0,I20/SUM($E$11:E20))</f>
        <v>4.9000000000000004</v>
      </c>
    </row>
    <row r="21" spans="2:12" x14ac:dyDescent="0.2">
      <c r="B21" s="67"/>
      <c r="C21" s="106"/>
      <c r="D21" s="96"/>
      <c r="E21" s="83"/>
      <c r="F21" s="116"/>
      <c r="G21" s="99">
        <f t="shared" si="0"/>
        <v>0</v>
      </c>
      <c r="H21" s="69"/>
      <c r="I21" s="99">
        <f t="shared" si="1"/>
        <v>4900</v>
      </c>
      <c r="J21" s="86"/>
      <c r="K21" s="105">
        <f>IF(ISERROR(I21/$G$4),0,I21/SUM($E$11:E21))</f>
        <v>4.9000000000000004</v>
      </c>
    </row>
    <row r="22" spans="2:12" x14ac:dyDescent="0.2">
      <c r="B22" s="67"/>
      <c r="C22" s="106"/>
      <c r="D22" s="96"/>
      <c r="E22" s="83"/>
      <c r="F22" s="116"/>
      <c r="G22" s="99">
        <f t="shared" si="0"/>
        <v>0</v>
      </c>
      <c r="H22" s="69"/>
      <c r="I22" s="99">
        <f t="shared" si="1"/>
        <v>4900</v>
      </c>
      <c r="J22" s="86"/>
      <c r="K22" s="105">
        <f>IF(ISERROR(I22/$G$4),0,I22/SUM($E$11:E22))</f>
        <v>4.9000000000000004</v>
      </c>
    </row>
    <row r="23" spans="2:12" x14ac:dyDescent="0.2">
      <c r="B23" s="67"/>
      <c r="C23" s="106"/>
      <c r="D23" s="96"/>
      <c r="E23" s="83"/>
      <c r="F23" s="116"/>
      <c r="G23" s="99">
        <f>E23*F23</f>
        <v>0</v>
      </c>
      <c r="H23" s="69"/>
      <c r="I23" s="99">
        <f>I14+G23</f>
        <v>4900</v>
      </c>
      <c r="J23" s="86"/>
      <c r="K23" s="105">
        <f>IF(ISERROR(I23/$G$4),0,I23/SUM($E$11:E23))</f>
        <v>4.9000000000000004</v>
      </c>
    </row>
    <row r="24" spans="2:12" x14ac:dyDescent="0.2">
      <c r="G24" s="133">
        <f>SUM(G11:G23)</f>
        <v>4900</v>
      </c>
      <c r="H24" s="69"/>
      <c r="I24" s="85"/>
      <c r="J24" s="86"/>
      <c r="K24" s="134">
        <f>SUM(G11:G23)/SUM(E11:E23)</f>
        <v>4.9000000000000004</v>
      </c>
    </row>
    <row r="25" spans="2:12" ht="6" customHeight="1" x14ac:dyDescent="0.2">
      <c r="B25" s="117"/>
      <c r="C25" s="118"/>
      <c r="D25" s="119"/>
      <c r="E25" s="119"/>
      <c r="F25" s="120"/>
      <c r="G25" s="121"/>
      <c r="H25" s="122"/>
      <c r="I25" s="122"/>
      <c r="J25" s="123"/>
      <c r="K25" s="119"/>
    </row>
    <row r="26" spans="2:12" ht="6.5" customHeight="1" x14ac:dyDescent="0.2">
      <c r="B26" s="117"/>
      <c r="C26" s="118"/>
      <c r="D26" s="119"/>
      <c r="E26" s="119"/>
      <c r="F26" s="120"/>
      <c r="G26" s="121"/>
      <c r="H26" s="122"/>
      <c r="I26" s="122"/>
      <c r="J26" s="123"/>
      <c r="K26" s="119"/>
    </row>
    <row r="27" spans="2:12" ht="16" x14ac:dyDescent="0.2">
      <c r="B27" s="39" t="s">
        <v>233</v>
      </c>
      <c r="C27" s="106" t="d">
        <v>2024-03-20</v>
      </c>
      <c r="D27" s="107"/>
      <c r="E27" s="83"/>
      <c r="F27" s="101"/>
      <c r="G27" s="36">
        <v>0</v>
      </c>
      <c r="H27" s="69"/>
      <c r="I27" s="124">
        <f>I23+G27</f>
        <v>4900</v>
      </c>
      <c r="J27" s="86"/>
      <c r="K27" s="125">
        <f>I27/SUM($E$11:E27)</f>
        <v>4.9000000000000004</v>
      </c>
    </row>
    <row r="28" spans="2:12" ht="17" customHeight="1" x14ac:dyDescent="0.2">
      <c r="B28" s="39"/>
      <c r="C28" s="106"/>
      <c r="D28" s="107"/>
      <c r="E28" s="83"/>
      <c r="F28" s="101"/>
      <c r="G28" s="36">
        <v>0</v>
      </c>
      <c r="H28" s="69"/>
      <c r="I28" s="124">
        <f t="shared" ref="I28:I62" si="2">I27+G28</f>
        <v>4900</v>
      </c>
      <c r="J28" s="86"/>
      <c r="K28" s="125">
        <f>I28/SUM($E$11:E28)</f>
        <v>4.9000000000000004</v>
      </c>
      <c r="L28" s="86"/>
    </row>
    <row r="29" spans="2:12" x14ac:dyDescent="0.2">
      <c r="B29" s="39"/>
      <c r="C29" s="106"/>
      <c r="D29" s="107"/>
      <c r="E29" s="83"/>
      <c r="F29" s="84"/>
      <c r="G29" s="36">
        <v>0</v>
      </c>
      <c r="H29" s="69"/>
      <c r="I29" s="124">
        <f t="shared" si="2"/>
        <v>4900</v>
      </c>
      <c r="J29" s="86"/>
      <c r="K29" s="125">
        <f>I29/SUM($E$11:E29)</f>
        <v>4.9000000000000004</v>
      </c>
    </row>
    <row r="30" spans="2:12" x14ac:dyDescent="0.2">
      <c r="B30" s="39"/>
      <c r="C30" s="106"/>
      <c r="D30" s="107"/>
      <c r="E30" s="83"/>
      <c r="F30" s="84"/>
      <c r="G30" s="36">
        <v>0</v>
      </c>
      <c r="H30" s="69"/>
      <c r="I30" s="124">
        <f t="shared" si="2"/>
        <v>4900</v>
      </c>
      <c r="J30" s="86"/>
      <c r="K30" s="125">
        <f>I30/SUM($E$11:E30)</f>
        <v>4.9000000000000004</v>
      </c>
    </row>
    <row r="31" spans="2:12" x14ac:dyDescent="0.2">
      <c r="B31" s="39"/>
      <c r="C31" s="106"/>
      <c r="D31" s="107"/>
      <c r="E31" s="83"/>
      <c r="F31" s="84"/>
      <c r="G31" s="36">
        <v>0</v>
      </c>
      <c r="H31" s="69"/>
      <c r="I31" s="124">
        <f t="shared" si="2"/>
        <v>4900</v>
      </c>
      <c r="J31" s="86"/>
      <c r="K31" s="125">
        <f>I31/SUM($E$11:E31)</f>
        <v>4.9000000000000004</v>
      </c>
    </row>
    <row r="32" spans="2:12" x14ac:dyDescent="0.2">
      <c r="B32" s="39"/>
      <c r="C32" s="106"/>
      <c r="D32" s="107"/>
      <c r="E32" s="83"/>
      <c r="F32" s="84"/>
      <c r="G32" s="36">
        <v>0</v>
      </c>
      <c r="H32" s="69"/>
      <c r="I32" s="124">
        <f t="shared" si="2"/>
        <v>4900</v>
      </c>
      <c r="J32" s="86"/>
      <c r="K32" s="125">
        <f>I32/SUM($E$11:E32)</f>
        <v>4.9000000000000004</v>
      </c>
      <c r="L32" s="86"/>
    </row>
    <row r="33" spans="2:11" x14ac:dyDescent="0.2">
      <c r="B33" s="39"/>
      <c r="C33" s="106"/>
      <c r="D33" s="107"/>
      <c r="E33" s="83"/>
      <c r="F33" s="84"/>
      <c r="G33" s="36">
        <v>0</v>
      </c>
      <c r="H33" s="69"/>
      <c r="I33" s="124">
        <f t="shared" si="2"/>
        <v>4900</v>
      </c>
      <c r="J33" s="86"/>
      <c r="K33" s="125">
        <f>I33/SUM($E$11:E33)</f>
        <v>4.9000000000000004</v>
      </c>
    </row>
    <row r="34" spans="2:11" x14ac:dyDescent="0.2">
      <c r="B34" s="39"/>
      <c r="C34" s="106"/>
      <c r="D34" s="107"/>
      <c r="E34" s="83"/>
      <c r="F34" s="84"/>
      <c r="G34" s="36">
        <v>0</v>
      </c>
      <c r="H34" s="69"/>
      <c r="I34" s="124">
        <f t="shared" si="2"/>
        <v>4900</v>
      </c>
      <c r="J34" s="86"/>
      <c r="K34" s="125">
        <f>I34/SUM($E$11:E34)</f>
        <v>4.9000000000000004</v>
      </c>
    </row>
    <row r="35" spans="2:11" x14ac:dyDescent="0.2">
      <c r="B35" s="39"/>
      <c r="C35" s="106"/>
      <c r="D35" s="107"/>
      <c r="E35" s="83"/>
      <c r="F35" s="84"/>
      <c r="G35" s="36">
        <v>0</v>
      </c>
      <c r="H35" s="69"/>
      <c r="I35" s="124">
        <f t="shared" si="2"/>
        <v>4900</v>
      </c>
      <c r="J35" s="86"/>
      <c r="K35" s="125">
        <f>I35/SUM($E$11:E35)</f>
        <v>4.9000000000000004</v>
      </c>
    </row>
    <row r="36" spans="2:11" x14ac:dyDescent="0.2">
      <c r="B36" s="39"/>
      <c r="C36" s="106"/>
      <c r="D36" s="107"/>
      <c r="E36" s="83"/>
      <c r="F36" s="84"/>
      <c r="G36" s="36">
        <v>0</v>
      </c>
      <c r="H36" s="69"/>
      <c r="I36" s="124">
        <f t="shared" si="2"/>
        <v>4900</v>
      </c>
      <c r="J36" s="86"/>
      <c r="K36" s="125">
        <f>I36/SUM($E$11:E36)</f>
        <v>4.9000000000000004</v>
      </c>
    </row>
    <row r="37" spans="2:11" x14ac:dyDescent="0.2">
      <c r="B37" s="39"/>
      <c r="C37" s="106"/>
      <c r="D37" s="107"/>
      <c r="E37" s="83"/>
      <c r="F37" s="84"/>
      <c r="G37" s="36">
        <v>0</v>
      </c>
      <c r="H37" s="69"/>
      <c r="I37" s="124">
        <f t="shared" si="2"/>
        <v>4900</v>
      </c>
      <c r="J37" s="86"/>
      <c r="K37" s="125">
        <f>I37/SUM($E$11:E37)</f>
        <v>4.9000000000000004</v>
      </c>
    </row>
    <row r="38" spans="2:11" x14ac:dyDescent="0.2">
      <c r="B38" s="39"/>
      <c r="C38" s="106"/>
      <c r="D38" s="107"/>
      <c r="E38" s="83"/>
      <c r="F38" s="84"/>
      <c r="G38" s="36">
        <v>0</v>
      </c>
      <c r="H38" s="69"/>
      <c r="I38" s="124">
        <f t="shared" si="2"/>
        <v>4900</v>
      </c>
      <c r="J38" s="86"/>
      <c r="K38" s="125">
        <f>I38/SUM($E$11:E38)</f>
        <v>4.9000000000000004</v>
      </c>
    </row>
    <row r="39" spans="2:11" x14ac:dyDescent="0.2">
      <c r="B39" s="39"/>
      <c r="C39" s="106"/>
      <c r="D39" s="107"/>
      <c r="E39" s="83"/>
      <c r="F39" s="84"/>
      <c r="G39" s="36">
        <v>0</v>
      </c>
      <c r="H39" s="69"/>
      <c r="I39" s="124">
        <f t="shared" si="2"/>
        <v>4900</v>
      </c>
      <c r="J39" s="86"/>
      <c r="K39" s="125">
        <f>I39/SUM($E$11:E39)</f>
        <v>4.9000000000000004</v>
      </c>
    </row>
    <row r="40" spans="2:11" x14ac:dyDescent="0.2">
      <c r="B40" s="39"/>
      <c r="C40" s="106"/>
      <c r="D40" s="107"/>
      <c r="E40" s="83"/>
      <c r="F40" s="84"/>
      <c r="G40" s="36">
        <v>0</v>
      </c>
      <c r="H40" s="69"/>
      <c r="I40" s="124">
        <f t="shared" si="2"/>
        <v>4900</v>
      </c>
      <c r="J40" s="86"/>
      <c r="K40" s="125">
        <f>I40/SUM($E$11:E40)</f>
        <v>4.9000000000000004</v>
      </c>
    </row>
    <row r="41" spans="2:11" x14ac:dyDescent="0.2">
      <c r="B41" s="39"/>
      <c r="C41" s="106"/>
      <c r="D41" s="107"/>
      <c r="E41" s="83"/>
      <c r="F41" s="84"/>
      <c r="G41" s="36">
        <v>0</v>
      </c>
      <c r="H41" s="69"/>
      <c r="I41" s="124">
        <f t="shared" si="2"/>
        <v>4900</v>
      </c>
      <c r="J41" s="86"/>
      <c r="K41" s="125">
        <f>I41/SUM($E$11:E41)</f>
        <v>4.9000000000000004</v>
      </c>
    </row>
    <row r="42" spans="2:11" x14ac:dyDescent="0.2">
      <c r="B42" s="39"/>
      <c r="C42" s="106"/>
      <c r="D42" s="107"/>
      <c r="E42" s="83"/>
      <c r="F42" s="84"/>
      <c r="G42" s="36">
        <v>0</v>
      </c>
      <c r="H42" s="69"/>
      <c r="I42" s="124">
        <f t="shared" si="2"/>
        <v>4900</v>
      </c>
      <c r="J42" s="86"/>
      <c r="K42" s="125">
        <f>I42/SUM($E$11:E42)</f>
        <v>4.9000000000000004</v>
      </c>
    </row>
    <row r="43" spans="2:11" x14ac:dyDescent="0.2">
      <c r="B43" s="39"/>
      <c r="C43" s="106"/>
      <c r="D43" s="107"/>
      <c r="E43" s="83"/>
      <c r="F43" s="84"/>
      <c r="G43" s="36">
        <v>0</v>
      </c>
      <c r="H43" s="69"/>
      <c r="I43" s="124">
        <f t="shared" si="2"/>
        <v>4900</v>
      </c>
      <c r="J43" s="86"/>
      <c r="K43" s="125">
        <f>I43/SUM($E$11:E43)</f>
        <v>4.9000000000000004</v>
      </c>
    </row>
    <row r="44" spans="2:11" x14ac:dyDescent="0.2">
      <c r="B44" s="39"/>
      <c r="C44" s="106"/>
      <c r="D44" s="107"/>
      <c r="E44" s="83"/>
      <c r="F44" s="84"/>
      <c r="G44" s="36">
        <v>0</v>
      </c>
      <c r="H44" s="69"/>
      <c r="I44" s="124">
        <f t="shared" si="2"/>
        <v>4900</v>
      </c>
      <c r="J44" s="86"/>
      <c r="K44" s="125">
        <f>I44/SUM($E$11:E44)</f>
        <v>4.9000000000000004</v>
      </c>
    </row>
    <row r="45" spans="2:11" x14ac:dyDescent="0.2">
      <c r="B45" s="39"/>
      <c r="C45" s="106"/>
      <c r="D45" s="107"/>
      <c r="E45" s="83"/>
      <c r="F45" s="84"/>
      <c r="G45" s="36">
        <v>0</v>
      </c>
      <c r="H45" s="69"/>
      <c r="I45" s="124">
        <f t="shared" si="2"/>
        <v>4900</v>
      </c>
      <c r="J45" s="86"/>
      <c r="K45" s="125">
        <f>I45/SUM($E$11:E45)</f>
        <v>4.9000000000000004</v>
      </c>
    </row>
    <row r="46" spans="2:11" x14ac:dyDescent="0.2">
      <c r="B46" s="39"/>
      <c r="C46" s="106"/>
      <c r="D46" s="107"/>
      <c r="E46" s="83"/>
      <c r="F46" s="84"/>
      <c r="G46" s="36">
        <v>0</v>
      </c>
      <c r="H46" s="69"/>
      <c r="I46" s="124">
        <f t="shared" si="2"/>
        <v>4900</v>
      </c>
      <c r="J46" s="86"/>
      <c r="K46" s="125">
        <f>I46/SUM($E$11:E46)</f>
        <v>4.9000000000000004</v>
      </c>
    </row>
    <row r="47" spans="2:11" x14ac:dyDescent="0.2">
      <c r="B47" s="39"/>
      <c r="C47" s="106"/>
      <c r="D47" s="107"/>
      <c r="E47" s="83"/>
      <c r="F47" s="84"/>
      <c r="G47" s="36">
        <v>0</v>
      </c>
      <c r="H47" s="69"/>
      <c r="I47" s="124">
        <f t="shared" si="2"/>
        <v>4900</v>
      </c>
      <c r="J47" s="86"/>
      <c r="K47" s="125">
        <f>I47/SUM($E$11:E47)</f>
        <v>4.9000000000000004</v>
      </c>
    </row>
    <row r="48" spans="2:11" x14ac:dyDescent="0.2">
      <c r="B48" s="39"/>
      <c r="C48" s="106"/>
      <c r="D48" s="107"/>
      <c r="E48" s="83"/>
      <c r="F48" s="84"/>
      <c r="G48" s="36">
        <v>0</v>
      </c>
      <c r="H48" s="69"/>
      <c r="I48" s="124">
        <f t="shared" si="2"/>
        <v>4900</v>
      </c>
      <c r="J48" s="86"/>
      <c r="K48" s="125">
        <f>I48/SUM($E$11:E48)</f>
        <v>4.9000000000000004</v>
      </c>
    </row>
    <row r="49" spans="2:11" x14ac:dyDescent="0.2">
      <c r="B49" s="39"/>
      <c r="C49" s="106"/>
      <c r="D49" s="107"/>
      <c r="E49" s="83"/>
      <c r="F49" s="84"/>
      <c r="G49" s="36">
        <v>0</v>
      </c>
      <c r="H49" s="69"/>
      <c r="I49" s="124">
        <f t="shared" si="2"/>
        <v>4900</v>
      </c>
      <c r="J49" s="86"/>
      <c r="K49" s="125">
        <f>I49/SUM($E$11:E49)</f>
        <v>4.9000000000000004</v>
      </c>
    </row>
    <row r="50" spans="2:11" x14ac:dyDescent="0.2">
      <c r="B50" s="39"/>
      <c r="C50" s="106"/>
      <c r="D50" s="107"/>
      <c r="E50" s="83"/>
      <c r="F50" s="84"/>
      <c r="G50" s="36">
        <v>0</v>
      </c>
      <c r="H50" s="69"/>
      <c r="I50" s="124">
        <f t="shared" si="2"/>
        <v>4900</v>
      </c>
      <c r="J50" s="86"/>
      <c r="K50" s="125">
        <f>I50/SUM($E$11:E50)</f>
        <v>4.9000000000000004</v>
      </c>
    </row>
    <row r="51" spans="2:11" customFormat="1" ht="16" customHeight="1" x14ac:dyDescent="0.2">
      <c r="B51" s="39"/>
      <c r="C51" s="58"/>
      <c r="D51" s="53"/>
      <c r="E51" s="17"/>
      <c r="F51" s="18"/>
      <c r="G51" s="36">
        <v>0</v>
      </c>
      <c r="H51" s="20"/>
      <c r="I51" s="46">
        <f t="shared" si="2"/>
        <v>4900</v>
      </c>
      <c r="J51" s="31"/>
      <c r="K51" s="37">
        <f>I51/SUM($E$11:E51)</f>
        <v>4.9000000000000004</v>
      </c>
    </row>
    <row r="52" spans="2:11" x14ac:dyDescent="0.2">
      <c r="B52" s="39"/>
      <c r="C52" s="106"/>
      <c r="D52" s="107"/>
      <c r="E52" s="83"/>
      <c r="F52" s="84"/>
      <c r="G52" s="36">
        <v>0</v>
      </c>
      <c r="H52" s="69"/>
      <c r="I52" s="124">
        <f t="shared" si="2"/>
        <v>4900</v>
      </c>
      <c r="J52" s="86"/>
      <c r="K52" s="125">
        <f>I52/SUM($E$11:E52)</f>
        <v>4.9000000000000004</v>
      </c>
    </row>
    <row r="53" spans="2:11" x14ac:dyDescent="0.2">
      <c r="B53" s="39"/>
      <c r="C53" s="106"/>
      <c r="D53" s="107"/>
      <c r="E53" s="83"/>
      <c r="F53" s="84"/>
      <c r="G53" s="36">
        <v>0</v>
      </c>
      <c r="H53" s="69"/>
      <c r="I53" s="124">
        <f t="shared" si="2"/>
        <v>4900</v>
      </c>
      <c r="J53" s="86"/>
      <c r="K53" s="125">
        <f>I53/SUM($E$11:E53)</f>
        <v>4.9000000000000004</v>
      </c>
    </row>
    <row r="54" spans="2:11" x14ac:dyDescent="0.2">
      <c r="B54" s="39"/>
      <c r="C54" s="106"/>
      <c r="D54" s="107"/>
      <c r="E54" s="83"/>
      <c r="F54" s="84"/>
      <c r="G54" s="36">
        <v>0</v>
      </c>
      <c r="H54" s="69"/>
      <c r="I54" s="124">
        <f t="shared" si="2"/>
        <v>4900</v>
      </c>
      <c r="J54" s="86"/>
      <c r="K54" s="125">
        <f>I54/SUM($E$11:E54)</f>
        <v>4.9000000000000004</v>
      </c>
    </row>
    <row r="55" spans="2:11" x14ac:dyDescent="0.2">
      <c r="B55" s="39"/>
      <c r="C55" s="106"/>
      <c r="D55" s="107"/>
      <c r="E55" s="83"/>
      <c r="F55" s="84"/>
      <c r="G55" s="36">
        <v>0</v>
      </c>
      <c r="H55" s="69"/>
      <c r="I55" s="124">
        <f t="shared" si="2"/>
        <v>4900</v>
      </c>
      <c r="J55" s="86"/>
      <c r="K55" s="125">
        <f>I55/SUM($E$11:E55)</f>
        <v>4.9000000000000004</v>
      </c>
    </row>
    <row r="56" spans="2:11" x14ac:dyDescent="0.2">
      <c r="B56" s="39"/>
      <c r="C56" s="106"/>
      <c r="D56" s="107"/>
      <c r="E56" s="83"/>
      <c r="F56" s="84"/>
      <c r="G56" s="36"/>
      <c r="H56" s="69"/>
      <c r="I56" s="124">
        <f t="shared" si="2"/>
        <v>4900</v>
      </c>
      <c r="J56" s="86"/>
      <c r="K56" s="125">
        <f>I56/SUM($E$11:E56)</f>
        <v>4.9000000000000004</v>
      </c>
    </row>
    <row r="57" spans="2:11" x14ac:dyDescent="0.2">
      <c r="B57" s="39"/>
      <c r="C57" s="106"/>
      <c r="D57" s="107"/>
      <c r="E57" s="83"/>
      <c r="F57" s="84"/>
      <c r="G57" s="36"/>
      <c r="H57" s="69"/>
      <c r="I57" s="124">
        <f t="shared" si="2"/>
        <v>4900</v>
      </c>
      <c r="J57" s="86"/>
      <c r="K57" s="125">
        <f>I57/SUM($E$11:E57)</f>
        <v>4.9000000000000004</v>
      </c>
    </row>
    <row r="58" spans="2:11" x14ac:dyDescent="0.2">
      <c r="B58" s="39"/>
      <c r="C58" s="106"/>
      <c r="D58" s="107"/>
      <c r="E58" s="83"/>
      <c r="F58" s="84"/>
      <c r="G58" s="36"/>
      <c r="H58" s="69"/>
      <c r="I58" s="124">
        <f t="shared" si="2"/>
        <v>4900</v>
      </c>
      <c r="J58" s="86"/>
      <c r="K58" s="125">
        <f>I58/SUM($E$11:E58)</f>
        <v>4.9000000000000004</v>
      </c>
    </row>
    <row r="59" spans="2:11" x14ac:dyDescent="0.2">
      <c r="B59" s="39"/>
      <c r="C59" s="106"/>
      <c r="D59" s="107"/>
      <c r="E59" s="83"/>
      <c r="F59" s="84"/>
      <c r="G59" s="36"/>
      <c r="H59" s="69"/>
      <c r="I59" s="124">
        <f t="shared" si="2"/>
        <v>4900</v>
      </c>
      <c r="J59" s="86"/>
      <c r="K59" s="125">
        <f>I59/SUM($E$11:E59)</f>
        <v>4.9000000000000004</v>
      </c>
    </row>
    <row r="60" spans="2:11" x14ac:dyDescent="0.2">
      <c r="B60" s="39"/>
      <c r="C60" s="106"/>
      <c r="D60" s="107"/>
      <c r="E60" s="83"/>
      <c r="F60" s="84"/>
      <c r="G60" s="36"/>
      <c r="H60" s="69"/>
      <c r="I60" s="124">
        <f t="shared" si="2"/>
        <v>4900</v>
      </c>
      <c r="J60" s="86"/>
      <c r="K60" s="125">
        <f>I60/SUM($E$11:E60)</f>
        <v>4.9000000000000004</v>
      </c>
    </row>
    <row r="61" spans="2:11" x14ac:dyDescent="0.2">
      <c r="B61" s="39"/>
      <c r="C61" s="106"/>
      <c r="D61" s="107"/>
      <c r="E61" s="83"/>
      <c r="F61" s="84"/>
      <c r="G61" s="36"/>
      <c r="H61" s="69"/>
      <c r="I61" s="124">
        <f t="shared" si="2"/>
        <v>4900</v>
      </c>
      <c r="J61" s="86"/>
      <c r="K61" s="125">
        <f>I61/SUM($E$11:E61)</f>
        <v>4.9000000000000004</v>
      </c>
    </row>
    <row r="62" spans="2:11" x14ac:dyDescent="0.2">
      <c r="B62" s="39"/>
      <c r="C62" s="106"/>
      <c r="D62" s="107"/>
      <c r="E62" s="83"/>
      <c r="F62" s="84"/>
      <c r="G62" s="36"/>
      <c r="H62" s="69"/>
      <c r="I62" s="124">
        <f t="shared" si="2"/>
        <v>4900</v>
      </c>
      <c r="J62" s="86"/>
      <c r="K62" s="125">
        <f>I62/SUM($E$11:E62)</f>
        <v>4.9000000000000004</v>
      </c>
    </row>
    <row r="63" spans="2:11" ht="4.75" customHeight="1" x14ac:dyDescent="0.2">
      <c r="B63" s="67"/>
      <c r="C63" s="106"/>
      <c r="D63" s="107"/>
      <c r="E63" s="83"/>
      <c r="F63" s="84"/>
      <c r="G63" s="85"/>
      <c r="H63" s="69"/>
      <c r="I63" s="69"/>
      <c r="J63" s="86"/>
      <c r="K63" s="83"/>
    </row>
    <row r="64" spans="2:11" ht="19" x14ac:dyDescent="0.2">
      <c r="B64" s="67"/>
      <c r="C64" s="106"/>
      <c r="D64" s="107"/>
      <c r="E64" s="102"/>
      <c r="F64" s="103"/>
      <c r="G64" s="135">
        <f>SUM(G27:G62)</f>
        <v>0</v>
      </c>
      <c r="H64" s="69"/>
      <c r="I64" s="69"/>
      <c r="J64" s="86"/>
      <c r="K64" s="134"/>
    </row>
    <row r="65" spans="4:4" x14ac:dyDescent="0.2">
      <c r="D65" s="126"/>
    </row>
    <row r="66" spans="4:4" x14ac:dyDescent="0.2">
      <c r="D66" s="126"/>
    </row>
    <row r="67" spans="4:4" x14ac:dyDescent="0.2">
      <c r="D67" s="126"/>
    </row>
    <row r="68" spans="4:4" x14ac:dyDescent="0.2">
      <c r="D68" s="126"/>
    </row>
  </sheetData>
  <mergeCells count="1">
    <mergeCell ref="B8:G8"/>
  </mergeCells>
  <conditionalFormatting sqref="B28:B55">
    <cfRule type="expression" dxfId="428" priority="9">
      <formula>AND(ISNUMBER(SEARCH("call", B28)), J28="expired")</formula>
    </cfRule>
    <cfRule type="expression" dxfId="427" priority="10">
      <formula>AND(ISNUMBER(SEARCH("call", B28)), J28="assigned")</formula>
    </cfRule>
    <cfRule type="expression" dxfId="426" priority="11">
      <formula>J28="assigned"</formula>
    </cfRule>
    <cfRule type="expression" dxfId="425" priority="12">
      <formula>J28="expired"</formula>
    </cfRule>
  </conditionalFormatting>
  <conditionalFormatting sqref="B56:B62">
    <cfRule type="expression" dxfId="424" priority="5">
      <formula>AND(ISNUMBER(SEARCH("call", B56)), J56="expired")</formula>
    </cfRule>
    <cfRule type="expression" dxfId="423" priority="6">
      <formula>AND(ISNUMBER(SEARCH("call", B56)), J56="assigned")</formula>
    </cfRule>
    <cfRule type="expression" dxfId="422" priority="7">
      <formula>J56="assigned"</formula>
    </cfRule>
    <cfRule type="expression" dxfId="421" priority="8">
      <formula>J56="expired"</formula>
    </cfRule>
  </conditionalFormatting>
  <conditionalFormatting sqref="B27">
    <cfRule type="expression" dxfId="420" priority="1">
      <formula>AND(ISNUMBER(SEARCH("call", B27)), J27="expired")</formula>
    </cfRule>
    <cfRule type="expression" dxfId="419" priority="2">
      <formula>AND(ISNUMBER(SEARCH("call", B27)), J27="assigned")</formula>
    </cfRule>
    <cfRule type="expression" dxfId="418" priority="3">
      <formula>J27="assigned"</formula>
    </cfRule>
    <cfRule type="expression" dxfId="417" priority="4">
      <formula>J27="expired"</formula>
    </cfRule>
  </conditionalFormatting>
  <pageMargins left="0.7" right="0.7" top="0.75" bottom="0.75" header="0.3" footer="0.3"/>
  <pageSetup paperSize="0" orientation="portrait" r:id="rId1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04C2-7E38-8246-BE57-C3C51DFEE87B}">
  <sheetPr codeName="Sheet29"/>
  <dimension ref="B1:L68"/>
  <sheetViews>
    <sheetView zoomScale="130" zoomScaleNormal="130" workbookViewId="0">
      <pane xSplit="1" ySplit="10" topLeftCell="B11" activePane="bottomRight" state="frozen"/>
      <selection activeCell="A55" sqref="A55"/>
      <selection pane="topRight" activeCell="A55" sqref="A55"/>
      <selection pane="bottomLeft" activeCell="A55" sqref="A55"/>
      <selection pane="bottomRight" activeCell="F15" sqref="F15"/>
    </sheetView>
  </sheetViews>
  <sheetFormatPr baseColWidth="10" defaultColWidth="8.83203125" defaultRowHeight="15" x14ac:dyDescent="0.2"/>
  <cols>
    <col min="1" max="1" width="6" style="70" customWidth="1"/>
    <col min="2" max="2" width="34.83203125" style="71" customWidth="1"/>
    <col min="3" max="3" width="16.33203125" style="109" customWidth="1"/>
    <col min="4" max="4" width="8.33203125" style="70" customWidth="1"/>
    <col min="5" max="5" width="10.83203125" style="70" customWidth="1"/>
    <col min="6" max="6" width="9.6640625" style="70" bestFit="1" customWidth="1"/>
    <col min="7" max="7" width="13.83203125" style="70" customWidth="1"/>
    <col min="8" max="8" width="3.5" style="70" customWidth="1"/>
    <col min="9" max="9" width="12.1640625" style="70" customWidth="1"/>
    <col min="10" max="10" width="29" style="71" customWidth="1"/>
    <col min="11" max="11" width="8.83203125" style="72"/>
    <col min="12" max="12" width="26.6640625" style="70" customWidth="1"/>
    <col min="13" max="16384" width="8.83203125" style="70"/>
  </cols>
  <sheetData>
    <row r="1" spans="2:11" ht="17" x14ac:dyDescent="0.2">
      <c r="B1" s="108" t="s">
        <v>249</v>
      </c>
    </row>
    <row r="2" spans="2:11" x14ac:dyDescent="0.2">
      <c r="B2" s="67"/>
      <c r="C2" s="110"/>
      <c r="D2" s="72"/>
      <c r="E2" s="72"/>
      <c r="F2" s="74"/>
      <c r="G2" s="75"/>
    </row>
    <row r="3" spans="2:11" ht="19" x14ac:dyDescent="0.2">
      <c r="B3" s="111"/>
      <c r="C3" s="112"/>
      <c r="D3" s="77"/>
      <c r="E3" s="77"/>
      <c r="F3" s="78" t="s">
        <v>0</v>
      </c>
      <c r="G3" s="79">
        <f>IF(ISERROR(SUM(G24,G64)/G4),SUM(G24,G64),SUM(G24,G64)/G4)</f>
        <v>5.48</v>
      </c>
      <c r="H3" s="70" t="s">
        <v>1</v>
      </c>
      <c r="J3" s="80">
        <v>16</v>
      </c>
      <c r="K3" s="77"/>
    </row>
    <row r="4" spans="2:11" x14ac:dyDescent="0.2">
      <c r="B4" s="113"/>
      <c r="C4" s="110"/>
      <c r="D4" s="72"/>
      <c r="E4" s="72"/>
      <c r="F4" s="74" t="s">
        <v>2</v>
      </c>
      <c r="G4" s="81">
        <f>SUM(E11:E131)</f>
        <v>1000</v>
      </c>
    </row>
    <row r="5" spans="2:11" x14ac:dyDescent="0.2">
      <c r="C5" s="110"/>
      <c r="D5" s="72"/>
      <c r="E5" s="72"/>
      <c r="F5" s="74"/>
      <c r="G5" s="75"/>
    </row>
    <row r="6" spans="2:11" x14ac:dyDescent="0.2">
      <c r="C6" s="106"/>
      <c r="D6" s="83"/>
      <c r="E6" s="83"/>
      <c r="F6" s="84"/>
      <c r="G6" s="85"/>
      <c r="H6" s="69"/>
      <c r="I6" s="69"/>
      <c r="J6" s="86"/>
      <c r="K6" s="83"/>
    </row>
    <row r="7" spans="2:11" ht="6" customHeight="1" x14ac:dyDescent="0.2">
      <c r="B7" s="67"/>
      <c r="C7" s="106"/>
      <c r="D7" s="83"/>
      <c r="E7" s="83"/>
      <c r="F7" s="84"/>
      <c r="G7" s="85"/>
      <c r="H7" s="69"/>
      <c r="I7" s="69"/>
      <c r="J7" s="86"/>
      <c r="K7" s="83"/>
    </row>
    <row r="8" spans="2:11" s="90" customFormat="1" ht="12" x14ac:dyDescent="0.2">
      <c r="B8" s="199" t="s">
        <v>3</v>
      </c>
      <c r="C8" s="199"/>
      <c r="D8" s="199"/>
      <c r="E8" s="199"/>
      <c r="F8" s="199"/>
      <c r="G8" s="199"/>
      <c r="H8" s="87"/>
      <c r="I8" s="88" t="s">
        <v>4</v>
      </c>
      <c r="J8" s="89"/>
      <c r="K8" s="88" t="s">
        <v>5</v>
      </c>
    </row>
    <row r="9" spans="2:11" ht="16" x14ac:dyDescent="0.2">
      <c r="B9" s="114" t="s">
        <v>11</v>
      </c>
      <c r="C9" s="115" t="s">
        <v>6</v>
      </c>
      <c r="D9" s="92" t="s">
        <v>39</v>
      </c>
      <c r="E9" s="92" t="s">
        <v>2</v>
      </c>
      <c r="F9" s="93" t="s">
        <v>7</v>
      </c>
      <c r="G9" s="94" t="s">
        <v>8</v>
      </c>
      <c r="H9" s="92"/>
      <c r="I9" s="92"/>
      <c r="J9" s="95"/>
      <c r="K9" s="92"/>
    </row>
    <row r="10" spans="2:11" ht="5.5" customHeight="1" x14ac:dyDescent="0.2">
      <c r="B10" s="114"/>
      <c r="C10" s="115"/>
      <c r="D10" s="92"/>
      <c r="E10" s="92"/>
      <c r="F10" s="93"/>
      <c r="G10" s="94"/>
      <c r="H10" s="92"/>
      <c r="I10" s="92"/>
      <c r="J10" s="95"/>
      <c r="K10" s="92"/>
    </row>
    <row r="11" spans="2:11" ht="16" x14ac:dyDescent="0.2">
      <c r="B11" s="67" t="s">
        <v>23</v>
      </c>
      <c r="C11" s="106" t="d">
        <v>2025-01-13</v>
      </c>
      <c r="D11" s="96"/>
      <c r="E11" s="83">
        <v>1000</v>
      </c>
      <c r="F11" s="116">
        <v>5.48</v>
      </c>
      <c r="G11" s="99">
        <f>E11*F11</f>
        <v>5480</v>
      </c>
      <c r="H11" s="69"/>
      <c r="I11" s="99">
        <f>G11</f>
        <v>5480</v>
      </c>
      <c r="J11" s="86"/>
      <c r="K11" s="105">
        <f>IF(ISERROR(I11/$G$4),0,I11/SUM($E$11:E11))</f>
        <v>5.48</v>
      </c>
    </row>
    <row r="12" spans="2:11" x14ac:dyDescent="0.2">
      <c r="B12" s="67"/>
      <c r="C12" s="106"/>
      <c r="D12" s="96"/>
      <c r="E12" s="83"/>
      <c r="F12" s="116"/>
      <c r="G12" s="99">
        <f>E12*F12</f>
        <v>0</v>
      </c>
      <c r="H12" s="69"/>
      <c r="I12" s="99">
        <f>I11+G12</f>
        <v>5480</v>
      </c>
      <c r="J12" s="86"/>
      <c r="K12" s="105">
        <f>IF(ISERROR(I12/$G$4),0,I12/SUM($E$11:E12))</f>
        <v>5.48</v>
      </c>
    </row>
    <row r="13" spans="2:11" x14ac:dyDescent="0.2">
      <c r="B13" s="67"/>
      <c r="C13" s="106"/>
      <c r="D13" s="96"/>
      <c r="E13" s="83"/>
      <c r="F13" s="116"/>
      <c r="G13" s="99">
        <f>E13*F13</f>
        <v>0</v>
      </c>
      <c r="H13" s="69"/>
      <c r="I13" s="99">
        <f>I12+G13</f>
        <v>5480</v>
      </c>
      <c r="J13" s="86"/>
      <c r="K13" s="105">
        <f>IF(ISERROR(I13/$G$4),0,I13/SUM($E$11:E13))</f>
        <v>5.48</v>
      </c>
    </row>
    <row r="14" spans="2:11" x14ac:dyDescent="0.2">
      <c r="B14" s="67"/>
      <c r="C14" s="106"/>
      <c r="D14" s="96"/>
      <c r="E14" s="83"/>
      <c r="F14" s="116"/>
      <c r="G14" s="99">
        <f>E14*F14</f>
        <v>0</v>
      </c>
      <c r="H14" s="69"/>
      <c r="I14" s="99">
        <f>I13+G14</f>
        <v>5480</v>
      </c>
      <c r="J14" s="86"/>
      <c r="K14" s="105">
        <f>IF(ISERROR(I14/$G$4),0,I14/SUM($E$11:E14))</f>
        <v>5.48</v>
      </c>
    </row>
    <row r="15" spans="2:11" x14ac:dyDescent="0.2">
      <c r="B15" s="67"/>
      <c r="C15" s="106"/>
      <c r="D15" s="96"/>
      <c r="E15" s="83"/>
      <c r="F15" s="116"/>
      <c r="G15" s="99">
        <f t="shared" ref="G15:G22" si="0">E15*F15</f>
        <v>0</v>
      </c>
      <c r="H15" s="69"/>
      <c r="I15" s="99">
        <f t="shared" ref="I15:I22" si="1">I14+G15</f>
        <v>5480</v>
      </c>
      <c r="J15" s="86"/>
      <c r="K15" s="105">
        <f>IF(ISERROR(I15/$G$4),0,I15/SUM($E$11:E15))</f>
        <v>5.48</v>
      </c>
    </row>
    <row r="16" spans="2:11" x14ac:dyDescent="0.2">
      <c r="B16" s="67"/>
      <c r="C16" s="106"/>
      <c r="D16" s="96"/>
      <c r="E16" s="83"/>
      <c r="F16" s="116"/>
      <c r="G16" s="99">
        <f t="shared" si="0"/>
        <v>0</v>
      </c>
      <c r="H16" s="69"/>
      <c r="I16" s="99">
        <f t="shared" si="1"/>
        <v>5480</v>
      </c>
      <c r="J16" s="86"/>
      <c r="K16" s="105">
        <f>IF(ISERROR(I16/$G$4),0,I16/SUM($E$11:E16))</f>
        <v>5.48</v>
      </c>
    </row>
    <row r="17" spans="2:12" x14ac:dyDescent="0.2">
      <c r="B17" s="67"/>
      <c r="C17" s="106"/>
      <c r="D17" s="96"/>
      <c r="E17" s="83"/>
      <c r="F17" s="116"/>
      <c r="G17" s="99">
        <f t="shared" si="0"/>
        <v>0</v>
      </c>
      <c r="H17" s="69"/>
      <c r="I17" s="99">
        <f t="shared" si="1"/>
        <v>5480</v>
      </c>
      <c r="J17" s="86"/>
      <c r="K17" s="105">
        <f>IF(ISERROR(I17/$G$4),0,I17/SUM($E$11:E17))</f>
        <v>5.48</v>
      </c>
    </row>
    <row r="18" spans="2:12" x14ac:dyDescent="0.2">
      <c r="B18" s="67"/>
      <c r="C18" s="106"/>
      <c r="D18" s="96"/>
      <c r="E18" s="83"/>
      <c r="F18" s="116"/>
      <c r="G18" s="99">
        <f t="shared" si="0"/>
        <v>0</v>
      </c>
      <c r="H18" s="69"/>
      <c r="I18" s="99">
        <f t="shared" si="1"/>
        <v>5480</v>
      </c>
      <c r="J18" s="86"/>
      <c r="K18" s="105">
        <f>IF(ISERROR(I18/$G$4),0,I18/SUM($E$11:E18))</f>
        <v>5.48</v>
      </c>
    </row>
    <row r="19" spans="2:12" x14ac:dyDescent="0.2">
      <c r="B19" s="67"/>
      <c r="C19" s="106"/>
      <c r="D19" s="96"/>
      <c r="E19" s="83"/>
      <c r="F19" s="116"/>
      <c r="G19" s="99">
        <f t="shared" si="0"/>
        <v>0</v>
      </c>
      <c r="H19" s="69"/>
      <c r="I19" s="99">
        <f t="shared" si="1"/>
        <v>5480</v>
      </c>
      <c r="J19" s="86"/>
      <c r="K19" s="105">
        <f>IF(ISERROR(I19/$G$4),0,I19/SUM($E$11:E19))</f>
        <v>5.48</v>
      </c>
    </row>
    <row r="20" spans="2:12" x14ac:dyDescent="0.2">
      <c r="B20" s="67"/>
      <c r="C20" s="106"/>
      <c r="D20" s="96"/>
      <c r="E20" s="83"/>
      <c r="F20" s="116"/>
      <c r="G20" s="99">
        <f t="shared" si="0"/>
        <v>0</v>
      </c>
      <c r="H20" s="69"/>
      <c r="I20" s="99">
        <f t="shared" si="1"/>
        <v>5480</v>
      </c>
      <c r="J20" s="86"/>
      <c r="K20" s="105">
        <f>IF(ISERROR(I20/$G$4),0,I20/SUM($E$11:E20))</f>
        <v>5.48</v>
      </c>
    </row>
    <row r="21" spans="2:12" x14ac:dyDescent="0.2">
      <c r="B21" s="67"/>
      <c r="C21" s="106"/>
      <c r="D21" s="96"/>
      <c r="E21" s="83"/>
      <c r="F21" s="116"/>
      <c r="G21" s="99">
        <f t="shared" si="0"/>
        <v>0</v>
      </c>
      <c r="H21" s="69"/>
      <c r="I21" s="99">
        <f t="shared" si="1"/>
        <v>5480</v>
      </c>
      <c r="J21" s="86"/>
      <c r="K21" s="105">
        <f>IF(ISERROR(I21/$G$4),0,I21/SUM($E$11:E21))</f>
        <v>5.48</v>
      </c>
    </row>
    <row r="22" spans="2:12" x14ac:dyDescent="0.2">
      <c r="B22" s="67"/>
      <c r="C22" s="106"/>
      <c r="D22" s="96"/>
      <c r="E22" s="83"/>
      <c r="F22" s="116"/>
      <c r="G22" s="99">
        <f t="shared" si="0"/>
        <v>0</v>
      </c>
      <c r="H22" s="69"/>
      <c r="I22" s="99">
        <f t="shared" si="1"/>
        <v>5480</v>
      </c>
      <c r="J22" s="86"/>
      <c r="K22" s="105">
        <f>IF(ISERROR(I22/$G$4),0,I22/SUM($E$11:E22))</f>
        <v>5.48</v>
      </c>
    </row>
    <row r="23" spans="2:12" x14ac:dyDescent="0.2">
      <c r="B23" s="67"/>
      <c r="C23" s="106"/>
      <c r="D23" s="96"/>
      <c r="E23" s="83"/>
      <c r="F23" s="116"/>
      <c r="G23" s="99">
        <f>E23*F23</f>
        <v>0</v>
      </c>
      <c r="H23" s="69"/>
      <c r="I23" s="99">
        <f>I14+G23</f>
        <v>5480</v>
      </c>
      <c r="J23" s="86"/>
      <c r="K23" s="105">
        <f>IF(ISERROR(I23/$G$4),0,I23/SUM($E$11:E23))</f>
        <v>5.48</v>
      </c>
    </row>
    <row r="24" spans="2:12" x14ac:dyDescent="0.2">
      <c r="G24" s="133">
        <f>SUM(G11:G23)</f>
        <v>5480</v>
      </c>
      <c r="H24" s="69"/>
      <c r="I24" s="85"/>
      <c r="J24" s="86"/>
      <c r="K24" s="134">
        <f>SUM(G11:G23)/SUM(E11:E23)</f>
        <v>5.48</v>
      </c>
    </row>
    <row r="25" spans="2:12" ht="6" customHeight="1" x14ac:dyDescent="0.2">
      <c r="B25" s="117"/>
      <c r="C25" s="118"/>
      <c r="D25" s="119"/>
      <c r="E25" s="119"/>
      <c r="F25" s="120"/>
      <c r="G25" s="121"/>
      <c r="H25" s="122"/>
      <c r="I25" s="122"/>
      <c r="J25" s="123"/>
      <c r="K25" s="119"/>
    </row>
    <row r="26" spans="2:12" ht="6.5" customHeight="1" x14ac:dyDescent="0.2">
      <c r="B26" s="117"/>
      <c r="C26" s="118"/>
      <c r="D26" s="119"/>
      <c r="E26" s="119"/>
      <c r="F26" s="120"/>
      <c r="G26" s="121"/>
      <c r="H26" s="122"/>
      <c r="I26" s="122"/>
      <c r="J26" s="123"/>
      <c r="K26" s="119"/>
    </row>
    <row r="27" spans="2:12" ht="16" x14ac:dyDescent="0.2">
      <c r="B27" s="39" t="s">
        <v>233</v>
      </c>
      <c r="C27" s="106" t="d">
        <v>2024-03-20</v>
      </c>
      <c r="D27" s="107"/>
      <c r="E27" s="83"/>
      <c r="F27" s="101"/>
      <c r="G27" s="36">
        <v>0</v>
      </c>
      <c r="H27" s="69"/>
      <c r="I27" s="124">
        <f>I23+G27</f>
        <v>5480</v>
      </c>
      <c r="J27" s="86"/>
      <c r="K27" s="125">
        <f>I27/SUM($E$11:E27)</f>
        <v>5.48</v>
      </c>
    </row>
    <row r="28" spans="2:12" ht="17" customHeight="1" x14ac:dyDescent="0.2">
      <c r="B28" s="39"/>
      <c r="C28" s="106"/>
      <c r="D28" s="107"/>
      <c r="E28" s="83"/>
      <c r="F28" s="101"/>
      <c r="G28" s="36">
        <v>0</v>
      </c>
      <c r="H28" s="69"/>
      <c r="I28" s="124">
        <f t="shared" ref="I28:I62" si="2">I27+G28</f>
        <v>5480</v>
      </c>
      <c r="J28" s="86"/>
      <c r="K28" s="125">
        <f>I28/SUM($E$11:E28)</f>
        <v>5.48</v>
      </c>
      <c r="L28" s="86"/>
    </row>
    <row r="29" spans="2:12" x14ac:dyDescent="0.2">
      <c r="B29" s="39"/>
      <c r="C29" s="106"/>
      <c r="D29" s="107"/>
      <c r="E29" s="83"/>
      <c r="F29" s="84"/>
      <c r="G29" s="36">
        <v>0</v>
      </c>
      <c r="H29" s="69"/>
      <c r="I29" s="124">
        <f t="shared" si="2"/>
        <v>5480</v>
      </c>
      <c r="J29" s="86"/>
      <c r="K29" s="125">
        <f>I29/SUM($E$11:E29)</f>
        <v>5.48</v>
      </c>
    </row>
    <row r="30" spans="2:12" x14ac:dyDescent="0.2">
      <c r="B30" s="39"/>
      <c r="C30" s="106"/>
      <c r="D30" s="107"/>
      <c r="E30" s="83"/>
      <c r="F30" s="84"/>
      <c r="G30" s="36">
        <v>0</v>
      </c>
      <c r="H30" s="69"/>
      <c r="I30" s="124">
        <f t="shared" si="2"/>
        <v>5480</v>
      </c>
      <c r="J30" s="86"/>
      <c r="K30" s="125">
        <f>I30/SUM($E$11:E30)</f>
        <v>5.48</v>
      </c>
    </row>
    <row r="31" spans="2:12" x14ac:dyDescent="0.2">
      <c r="B31" s="39"/>
      <c r="C31" s="106"/>
      <c r="D31" s="107"/>
      <c r="E31" s="83"/>
      <c r="F31" s="84"/>
      <c r="G31" s="36">
        <v>0</v>
      </c>
      <c r="H31" s="69"/>
      <c r="I31" s="124">
        <f t="shared" si="2"/>
        <v>5480</v>
      </c>
      <c r="J31" s="86"/>
      <c r="K31" s="125">
        <f>I31/SUM($E$11:E31)</f>
        <v>5.48</v>
      </c>
    </row>
    <row r="32" spans="2:12" x14ac:dyDescent="0.2">
      <c r="B32" s="39"/>
      <c r="C32" s="106"/>
      <c r="D32" s="107"/>
      <c r="E32" s="83"/>
      <c r="F32" s="84"/>
      <c r="G32" s="36">
        <v>0</v>
      </c>
      <c r="H32" s="69"/>
      <c r="I32" s="124">
        <f t="shared" si="2"/>
        <v>5480</v>
      </c>
      <c r="J32" s="86"/>
      <c r="K32" s="125">
        <f>I32/SUM($E$11:E32)</f>
        <v>5.48</v>
      </c>
      <c r="L32" s="86"/>
    </row>
    <row r="33" spans="2:11" x14ac:dyDescent="0.2">
      <c r="B33" s="39"/>
      <c r="C33" s="106"/>
      <c r="D33" s="107"/>
      <c r="E33" s="83"/>
      <c r="F33" s="84"/>
      <c r="G33" s="36">
        <v>0</v>
      </c>
      <c r="H33" s="69"/>
      <c r="I33" s="124">
        <f t="shared" si="2"/>
        <v>5480</v>
      </c>
      <c r="J33" s="86"/>
      <c r="K33" s="125">
        <f>I33/SUM($E$11:E33)</f>
        <v>5.48</v>
      </c>
    </row>
    <row r="34" spans="2:11" x14ac:dyDescent="0.2">
      <c r="B34" s="39"/>
      <c r="C34" s="106"/>
      <c r="D34" s="107"/>
      <c r="E34" s="83"/>
      <c r="F34" s="84"/>
      <c r="G34" s="36">
        <v>0</v>
      </c>
      <c r="H34" s="69"/>
      <c r="I34" s="124">
        <f t="shared" si="2"/>
        <v>5480</v>
      </c>
      <c r="J34" s="86"/>
      <c r="K34" s="125">
        <f>I34/SUM($E$11:E34)</f>
        <v>5.48</v>
      </c>
    </row>
    <row r="35" spans="2:11" x14ac:dyDescent="0.2">
      <c r="B35" s="39"/>
      <c r="C35" s="106"/>
      <c r="D35" s="107"/>
      <c r="E35" s="83"/>
      <c r="F35" s="84"/>
      <c r="G35" s="36">
        <v>0</v>
      </c>
      <c r="H35" s="69"/>
      <c r="I35" s="124">
        <f t="shared" si="2"/>
        <v>5480</v>
      </c>
      <c r="J35" s="86"/>
      <c r="K35" s="125">
        <f>I35/SUM($E$11:E35)</f>
        <v>5.48</v>
      </c>
    </row>
    <row r="36" spans="2:11" x14ac:dyDescent="0.2">
      <c r="B36" s="39"/>
      <c r="C36" s="106"/>
      <c r="D36" s="107"/>
      <c r="E36" s="83"/>
      <c r="F36" s="84"/>
      <c r="G36" s="36">
        <v>0</v>
      </c>
      <c r="H36" s="69"/>
      <c r="I36" s="124">
        <f t="shared" si="2"/>
        <v>5480</v>
      </c>
      <c r="J36" s="86"/>
      <c r="K36" s="125">
        <f>I36/SUM($E$11:E36)</f>
        <v>5.48</v>
      </c>
    </row>
    <row r="37" spans="2:11" x14ac:dyDescent="0.2">
      <c r="B37" s="39"/>
      <c r="C37" s="106"/>
      <c r="D37" s="107"/>
      <c r="E37" s="83"/>
      <c r="F37" s="84"/>
      <c r="G37" s="36">
        <v>0</v>
      </c>
      <c r="H37" s="69"/>
      <c r="I37" s="124">
        <f t="shared" si="2"/>
        <v>5480</v>
      </c>
      <c r="J37" s="86"/>
      <c r="K37" s="125">
        <f>I37/SUM($E$11:E37)</f>
        <v>5.48</v>
      </c>
    </row>
    <row r="38" spans="2:11" x14ac:dyDescent="0.2">
      <c r="B38" s="39"/>
      <c r="C38" s="106"/>
      <c r="D38" s="107"/>
      <c r="E38" s="83"/>
      <c r="F38" s="84"/>
      <c r="G38" s="36">
        <v>0</v>
      </c>
      <c r="H38" s="69"/>
      <c r="I38" s="124">
        <f t="shared" si="2"/>
        <v>5480</v>
      </c>
      <c r="J38" s="86"/>
      <c r="K38" s="125">
        <f>I38/SUM($E$11:E38)</f>
        <v>5.48</v>
      </c>
    </row>
    <row r="39" spans="2:11" x14ac:dyDescent="0.2">
      <c r="B39" s="39"/>
      <c r="C39" s="106"/>
      <c r="D39" s="107"/>
      <c r="E39" s="83"/>
      <c r="F39" s="84"/>
      <c r="G39" s="36">
        <v>0</v>
      </c>
      <c r="H39" s="69"/>
      <c r="I39" s="124">
        <f t="shared" si="2"/>
        <v>5480</v>
      </c>
      <c r="J39" s="86"/>
      <c r="K39" s="125">
        <f>I39/SUM($E$11:E39)</f>
        <v>5.48</v>
      </c>
    </row>
    <row r="40" spans="2:11" x14ac:dyDescent="0.2">
      <c r="B40" s="39"/>
      <c r="C40" s="106"/>
      <c r="D40" s="107"/>
      <c r="E40" s="83"/>
      <c r="F40" s="84"/>
      <c r="G40" s="36">
        <v>0</v>
      </c>
      <c r="H40" s="69"/>
      <c r="I40" s="124">
        <f t="shared" si="2"/>
        <v>5480</v>
      </c>
      <c r="J40" s="86"/>
      <c r="K40" s="125">
        <f>I40/SUM($E$11:E40)</f>
        <v>5.48</v>
      </c>
    </row>
    <row r="41" spans="2:11" x14ac:dyDescent="0.2">
      <c r="B41" s="39"/>
      <c r="C41" s="106"/>
      <c r="D41" s="107"/>
      <c r="E41" s="83"/>
      <c r="F41" s="84"/>
      <c r="G41" s="36">
        <v>0</v>
      </c>
      <c r="H41" s="69"/>
      <c r="I41" s="124">
        <f t="shared" si="2"/>
        <v>5480</v>
      </c>
      <c r="J41" s="86"/>
      <c r="K41" s="125">
        <f>I41/SUM($E$11:E41)</f>
        <v>5.48</v>
      </c>
    </row>
    <row r="42" spans="2:11" x14ac:dyDescent="0.2">
      <c r="B42" s="39"/>
      <c r="C42" s="106"/>
      <c r="D42" s="107"/>
      <c r="E42" s="83"/>
      <c r="F42" s="84"/>
      <c r="G42" s="36">
        <v>0</v>
      </c>
      <c r="H42" s="69"/>
      <c r="I42" s="124">
        <f t="shared" si="2"/>
        <v>5480</v>
      </c>
      <c r="J42" s="86"/>
      <c r="K42" s="125">
        <f>I42/SUM($E$11:E42)</f>
        <v>5.48</v>
      </c>
    </row>
    <row r="43" spans="2:11" x14ac:dyDescent="0.2">
      <c r="B43" s="39"/>
      <c r="C43" s="106"/>
      <c r="D43" s="107"/>
      <c r="E43" s="83"/>
      <c r="F43" s="84"/>
      <c r="G43" s="36">
        <v>0</v>
      </c>
      <c r="H43" s="69"/>
      <c r="I43" s="124">
        <f t="shared" si="2"/>
        <v>5480</v>
      </c>
      <c r="J43" s="86"/>
      <c r="K43" s="125">
        <f>I43/SUM($E$11:E43)</f>
        <v>5.48</v>
      </c>
    </row>
    <row r="44" spans="2:11" x14ac:dyDescent="0.2">
      <c r="B44" s="39"/>
      <c r="C44" s="106"/>
      <c r="D44" s="107"/>
      <c r="E44" s="83"/>
      <c r="F44" s="84"/>
      <c r="G44" s="36">
        <v>0</v>
      </c>
      <c r="H44" s="69"/>
      <c r="I44" s="124">
        <f t="shared" si="2"/>
        <v>5480</v>
      </c>
      <c r="J44" s="86"/>
      <c r="K44" s="125">
        <f>I44/SUM($E$11:E44)</f>
        <v>5.48</v>
      </c>
    </row>
    <row r="45" spans="2:11" x14ac:dyDescent="0.2">
      <c r="B45" s="39"/>
      <c r="C45" s="106"/>
      <c r="D45" s="107"/>
      <c r="E45" s="83"/>
      <c r="F45" s="84"/>
      <c r="G45" s="36">
        <v>0</v>
      </c>
      <c r="H45" s="69"/>
      <c r="I45" s="124">
        <f t="shared" si="2"/>
        <v>5480</v>
      </c>
      <c r="J45" s="86"/>
      <c r="K45" s="125">
        <f>I45/SUM($E$11:E45)</f>
        <v>5.48</v>
      </c>
    </row>
    <row r="46" spans="2:11" x14ac:dyDescent="0.2">
      <c r="B46" s="39"/>
      <c r="C46" s="106"/>
      <c r="D46" s="107"/>
      <c r="E46" s="83"/>
      <c r="F46" s="84"/>
      <c r="G46" s="36">
        <v>0</v>
      </c>
      <c r="H46" s="69"/>
      <c r="I46" s="124">
        <f t="shared" si="2"/>
        <v>5480</v>
      </c>
      <c r="J46" s="86"/>
      <c r="K46" s="125">
        <f>I46/SUM($E$11:E46)</f>
        <v>5.48</v>
      </c>
    </row>
    <row r="47" spans="2:11" x14ac:dyDescent="0.2">
      <c r="B47" s="39"/>
      <c r="C47" s="106"/>
      <c r="D47" s="107"/>
      <c r="E47" s="83"/>
      <c r="F47" s="84"/>
      <c r="G47" s="36">
        <v>0</v>
      </c>
      <c r="H47" s="69"/>
      <c r="I47" s="124">
        <f t="shared" si="2"/>
        <v>5480</v>
      </c>
      <c r="J47" s="86"/>
      <c r="K47" s="125">
        <f>I47/SUM($E$11:E47)</f>
        <v>5.48</v>
      </c>
    </row>
    <row r="48" spans="2:11" x14ac:dyDescent="0.2">
      <c r="B48" s="39"/>
      <c r="C48" s="106"/>
      <c r="D48" s="107"/>
      <c r="E48" s="83"/>
      <c r="F48" s="84"/>
      <c r="G48" s="36">
        <v>0</v>
      </c>
      <c r="H48" s="69"/>
      <c r="I48" s="124">
        <f t="shared" si="2"/>
        <v>5480</v>
      </c>
      <c r="J48" s="86"/>
      <c r="K48" s="125">
        <f>I48/SUM($E$11:E48)</f>
        <v>5.48</v>
      </c>
    </row>
    <row r="49" spans="2:11" x14ac:dyDescent="0.2">
      <c r="B49" s="39"/>
      <c r="C49" s="106"/>
      <c r="D49" s="107"/>
      <c r="E49" s="83"/>
      <c r="F49" s="84"/>
      <c r="G49" s="36">
        <v>0</v>
      </c>
      <c r="H49" s="69"/>
      <c r="I49" s="124">
        <f t="shared" si="2"/>
        <v>5480</v>
      </c>
      <c r="J49" s="86"/>
      <c r="K49" s="125">
        <f>I49/SUM($E$11:E49)</f>
        <v>5.48</v>
      </c>
    </row>
    <row r="50" spans="2:11" x14ac:dyDescent="0.2">
      <c r="B50" s="39"/>
      <c r="C50" s="106"/>
      <c r="D50" s="107"/>
      <c r="E50" s="83"/>
      <c r="F50" s="84"/>
      <c r="G50" s="36">
        <v>0</v>
      </c>
      <c r="H50" s="69"/>
      <c r="I50" s="124">
        <f t="shared" si="2"/>
        <v>5480</v>
      </c>
      <c r="J50" s="86"/>
      <c r="K50" s="125">
        <f>I50/SUM($E$11:E50)</f>
        <v>5.48</v>
      </c>
    </row>
    <row r="51" spans="2:11" customFormat="1" ht="16" customHeight="1" x14ac:dyDescent="0.2">
      <c r="B51" s="39"/>
      <c r="C51" s="58"/>
      <c r="D51" s="53"/>
      <c r="E51" s="17"/>
      <c r="F51" s="18"/>
      <c r="G51" s="36">
        <v>0</v>
      </c>
      <c r="H51" s="20"/>
      <c r="I51" s="46">
        <f t="shared" si="2"/>
        <v>5480</v>
      </c>
      <c r="J51" s="31"/>
      <c r="K51" s="37">
        <f>I51/SUM($E$11:E51)</f>
        <v>5.48</v>
      </c>
    </row>
    <row r="52" spans="2:11" x14ac:dyDescent="0.2">
      <c r="B52" s="39"/>
      <c r="C52" s="106"/>
      <c r="D52" s="107"/>
      <c r="E52" s="83"/>
      <c r="F52" s="84"/>
      <c r="G52" s="36">
        <v>0</v>
      </c>
      <c r="H52" s="69"/>
      <c r="I52" s="124">
        <f t="shared" si="2"/>
        <v>5480</v>
      </c>
      <c r="J52" s="86"/>
      <c r="K52" s="125">
        <f>I52/SUM($E$11:E52)</f>
        <v>5.48</v>
      </c>
    </row>
    <row r="53" spans="2:11" x14ac:dyDescent="0.2">
      <c r="B53" s="39"/>
      <c r="C53" s="106"/>
      <c r="D53" s="107"/>
      <c r="E53" s="83"/>
      <c r="F53" s="84"/>
      <c r="G53" s="36">
        <v>0</v>
      </c>
      <c r="H53" s="69"/>
      <c r="I53" s="124">
        <f t="shared" si="2"/>
        <v>5480</v>
      </c>
      <c r="J53" s="86"/>
      <c r="K53" s="125">
        <f>I53/SUM($E$11:E53)</f>
        <v>5.48</v>
      </c>
    </row>
    <row r="54" spans="2:11" x14ac:dyDescent="0.2">
      <c r="B54" s="39"/>
      <c r="C54" s="106"/>
      <c r="D54" s="107"/>
      <c r="E54" s="83"/>
      <c r="F54" s="84"/>
      <c r="G54" s="36">
        <v>0</v>
      </c>
      <c r="H54" s="69"/>
      <c r="I54" s="124">
        <f t="shared" si="2"/>
        <v>5480</v>
      </c>
      <c r="J54" s="86"/>
      <c r="K54" s="125">
        <f>I54/SUM($E$11:E54)</f>
        <v>5.48</v>
      </c>
    </row>
    <row r="55" spans="2:11" x14ac:dyDescent="0.2">
      <c r="B55" s="39"/>
      <c r="C55" s="106"/>
      <c r="D55" s="107"/>
      <c r="E55" s="83"/>
      <c r="F55" s="84"/>
      <c r="G55" s="36">
        <v>0</v>
      </c>
      <c r="H55" s="69"/>
      <c r="I55" s="124">
        <f t="shared" si="2"/>
        <v>5480</v>
      </c>
      <c r="J55" s="86"/>
      <c r="K55" s="125">
        <f>I55/SUM($E$11:E55)</f>
        <v>5.48</v>
      </c>
    </row>
    <row r="56" spans="2:11" x14ac:dyDescent="0.2">
      <c r="B56" s="39"/>
      <c r="C56" s="106"/>
      <c r="D56" s="107"/>
      <c r="E56" s="83"/>
      <c r="F56" s="84"/>
      <c r="G56" s="36"/>
      <c r="H56" s="69"/>
      <c r="I56" s="124">
        <f t="shared" si="2"/>
        <v>5480</v>
      </c>
      <c r="J56" s="86"/>
      <c r="K56" s="125">
        <f>I56/SUM($E$11:E56)</f>
        <v>5.48</v>
      </c>
    </row>
    <row r="57" spans="2:11" x14ac:dyDescent="0.2">
      <c r="B57" s="39"/>
      <c r="C57" s="106"/>
      <c r="D57" s="107"/>
      <c r="E57" s="83"/>
      <c r="F57" s="84"/>
      <c r="G57" s="36"/>
      <c r="H57" s="69"/>
      <c r="I57" s="124">
        <f t="shared" si="2"/>
        <v>5480</v>
      </c>
      <c r="J57" s="86"/>
      <c r="K57" s="125">
        <f>I57/SUM($E$11:E57)</f>
        <v>5.48</v>
      </c>
    </row>
    <row r="58" spans="2:11" x14ac:dyDescent="0.2">
      <c r="B58" s="39"/>
      <c r="C58" s="106"/>
      <c r="D58" s="107"/>
      <c r="E58" s="83"/>
      <c r="F58" s="84"/>
      <c r="G58" s="36"/>
      <c r="H58" s="69"/>
      <c r="I58" s="124">
        <f t="shared" si="2"/>
        <v>5480</v>
      </c>
      <c r="J58" s="86"/>
      <c r="K58" s="125">
        <f>I58/SUM($E$11:E58)</f>
        <v>5.48</v>
      </c>
    </row>
    <row r="59" spans="2:11" x14ac:dyDescent="0.2">
      <c r="B59" s="39"/>
      <c r="C59" s="106"/>
      <c r="D59" s="107"/>
      <c r="E59" s="83"/>
      <c r="F59" s="84"/>
      <c r="G59" s="36"/>
      <c r="H59" s="69"/>
      <c r="I59" s="124">
        <f t="shared" si="2"/>
        <v>5480</v>
      </c>
      <c r="J59" s="86"/>
      <c r="K59" s="125">
        <f>I59/SUM($E$11:E59)</f>
        <v>5.48</v>
      </c>
    </row>
    <row r="60" spans="2:11" x14ac:dyDescent="0.2">
      <c r="B60" s="39"/>
      <c r="C60" s="106"/>
      <c r="D60" s="107"/>
      <c r="E60" s="83"/>
      <c r="F60" s="84"/>
      <c r="G60" s="36"/>
      <c r="H60" s="69"/>
      <c r="I60" s="124">
        <f t="shared" si="2"/>
        <v>5480</v>
      </c>
      <c r="J60" s="86"/>
      <c r="K60" s="125">
        <f>I60/SUM($E$11:E60)</f>
        <v>5.48</v>
      </c>
    </row>
    <row r="61" spans="2:11" x14ac:dyDescent="0.2">
      <c r="B61" s="39"/>
      <c r="C61" s="106"/>
      <c r="D61" s="107"/>
      <c r="E61" s="83"/>
      <c r="F61" s="84"/>
      <c r="G61" s="36"/>
      <c r="H61" s="69"/>
      <c r="I61" s="124">
        <f t="shared" si="2"/>
        <v>5480</v>
      </c>
      <c r="J61" s="86"/>
      <c r="K61" s="125">
        <f>I61/SUM($E$11:E61)</f>
        <v>5.48</v>
      </c>
    </row>
    <row r="62" spans="2:11" x14ac:dyDescent="0.2">
      <c r="B62" s="39"/>
      <c r="C62" s="106"/>
      <c r="D62" s="107"/>
      <c r="E62" s="83"/>
      <c r="F62" s="84"/>
      <c r="G62" s="36"/>
      <c r="H62" s="69"/>
      <c r="I62" s="124">
        <f t="shared" si="2"/>
        <v>5480</v>
      </c>
      <c r="J62" s="86"/>
      <c r="K62" s="125">
        <f>I62/SUM($E$11:E62)</f>
        <v>5.48</v>
      </c>
    </row>
    <row r="63" spans="2:11" ht="4.75" customHeight="1" x14ac:dyDescent="0.2">
      <c r="B63" s="67"/>
      <c r="C63" s="106"/>
      <c r="D63" s="107"/>
      <c r="E63" s="83"/>
      <c r="F63" s="84"/>
      <c r="G63" s="85"/>
      <c r="H63" s="69"/>
      <c r="I63" s="69"/>
      <c r="J63" s="86"/>
      <c r="K63" s="83"/>
    </row>
    <row r="64" spans="2:11" ht="19" x14ac:dyDescent="0.2">
      <c r="B64" s="67"/>
      <c r="C64" s="106"/>
      <c r="D64" s="107"/>
      <c r="E64" s="102"/>
      <c r="F64" s="103"/>
      <c r="G64" s="135">
        <f>SUM(G27:G62)</f>
        <v>0</v>
      </c>
      <c r="H64" s="69"/>
      <c r="I64" s="69"/>
      <c r="J64" s="86"/>
      <c r="K64" s="134"/>
    </row>
    <row r="65" spans="4:4" x14ac:dyDescent="0.2">
      <c r="D65" s="126"/>
    </row>
    <row r="66" spans="4:4" x14ac:dyDescent="0.2">
      <c r="D66" s="126"/>
    </row>
    <row r="67" spans="4:4" x14ac:dyDescent="0.2">
      <c r="D67" s="126"/>
    </row>
    <row r="68" spans="4:4" x14ac:dyDescent="0.2">
      <c r="D68" s="126"/>
    </row>
  </sheetData>
  <mergeCells count="1">
    <mergeCell ref="B8:G8"/>
  </mergeCells>
  <conditionalFormatting sqref="B28:B55">
    <cfRule type="expression" dxfId="416" priority="9">
      <formula>AND(ISNUMBER(SEARCH("call", B28)), J28="expired")</formula>
    </cfRule>
    <cfRule type="expression" dxfId="415" priority="10">
      <formula>AND(ISNUMBER(SEARCH("call", B28)), J28="assigned")</formula>
    </cfRule>
    <cfRule type="expression" dxfId="414" priority="11">
      <formula>J28="assigned"</formula>
    </cfRule>
    <cfRule type="expression" dxfId="413" priority="12">
      <formula>J28="expired"</formula>
    </cfRule>
  </conditionalFormatting>
  <conditionalFormatting sqref="B56:B62">
    <cfRule type="expression" dxfId="412" priority="5">
      <formula>AND(ISNUMBER(SEARCH("call", B56)), J56="expired")</formula>
    </cfRule>
    <cfRule type="expression" dxfId="411" priority="6">
      <formula>AND(ISNUMBER(SEARCH("call", B56)), J56="assigned")</formula>
    </cfRule>
    <cfRule type="expression" dxfId="410" priority="7">
      <formula>J56="assigned"</formula>
    </cfRule>
    <cfRule type="expression" dxfId="409" priority="8">
      <formula>J56="expired"</formula>
    </cfRule>
  </conditionalFormatting>
  <conditionalFormatting sqref="B27">
    <cfRule type="expression" dxfId="408" priority="1">
      <formula>AND(ISNUMBER(SEARCH("call", B27)), J27="expired")</formula>
    </cfRule>
    <cfRule type="expression" dxfId="407" priority="2">
      <formula>AND(ISNUMBER(SEARCH("call", B27)), J27="assigned")</formula>
    </cfRule>
    <cfRule type="expression" dxfId="406" priority="3">
      <formula>J27="assigned"</formula>
    </cfRule>
    <cfRule type="expression" dxfId="405" priority="4">
      <formula>J27="expired"</formula>
    </cfRule>
  </conditionalFormatting>
  <pageMargins left="0.7" right="0.7" top="0.75" bottom="0.75" header="0.3" footer="0.3"/>
  <pageSetup paperSize="0" orientation="portrait" r:id="rId1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13A4-4289-B746-9136-1743A90D8B61}">
  <sheetPr codeName="Sheet16"/>
  <dimension ref="B1:K85"/>
  <sheetViews>
    <sheetView topLeftCell="A49" zoomScale="130" zoomScaleNormal="130" workbookViewId="0">
      <selection activeCell="C73" sqref="C73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customWidth="1"/>
    <col min="4" max="4" width="12.83203125" customWidth="1"/>
    <col min="5" max="5" width="10.83203125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</cols>
  <sheetData>
    <row r="1" spans="2:11" x14ac:dyDescent="0.2">
      <c r="B1" s="20"/>
    </row>
    <row r="2" spans="2:11" x14ac:dyDescent="0.2">
      <c r="B2" s="1"/>
      <c r="C2" s="2"/>
      <c r="D2" s="2"/>
      <c r="E2" s="2"/>
      <c r="F2" s="3"/>
      <c r="G2" s="4"/>
    </row>
    <row r="3" spans="2:11" ht="19" x14ac:dyDescent="0.25">
      <c r="B3" s="5"/>
      <c r="C3" s="6"/>
      <c r="D3" s="6"/>
      <c r="E3" s="6"/>
      <c r="F3" s="7" t="s">
        <v>0</v>
      </c>
      <c r="G3" s="8">
        <f>IF(ISERROR(SUM(G22,G83)/G4),SUM(G22,G83),SUM(G22,G83)/G4)</f>
        <v>-2731.5</v>
      </c>
      <c r="H3" t="s">
        <v>1</v>
      </c>
      <c r="J3" s="30">
        <v>39.85</v>
      </c>
      <c r="K3" s="6"/>
    </row>
    <row r="4" spans="2:11" x14ac:dyDescent="0.2">
      <c r="B4" s="1"/>
      <c r="C4" s="2"/>
      <c r="D4" s="2"/>
      <c r="E4" s="2"/>
      <c r="F4" s="3" t="s">
        <v>2</v>
      </c>
      <c r="G4" s="9">
        <f>SUM(E11:E21)</f>
        <v>0</v>
      </c>
    </row>
    <row r="5" spans="2:11" ht="16" x14ac:dyDescent="0.2">
      <c r="B5" s="10" t="s">
        <v>38</v>
      </c>
      <c r="C5" s="2"/>
      <c r="D5" s="2"/>
      <c r="E5" s="2"/>
      <c r="F5" s="3"/>
      <c r="G5" s="4"/>
    </row>
    <row r="6" spans="2:11" x14ac:dyDescent="0.2">
      <c r="B6" s="15"/>
      <c r="C6" s="17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15"/>
      <c r="C7" s="17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x14ac:dyDescent="0.2">
      <c r="B9" s="12" t="s">
        <v>11</v>
      </c>
      <c r="C9" s="11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12"/>
      <c r="C10" s="11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15" t="s">
        <v>190</v>
      </c>
      <c r="C11" s="58" t="d">
        <v>2024-11-04</v>
      </c>
      <c r="D11" s="53"/>
      <c r="E11" s="17">
        <v>200</v>
      </c>
      <c r="F11" s="21">
        <v>42</v>
      </c>
      <c r="G11" s="44">
        <f>E11*F11</f>
        <v>8400</v>
      </c>
      <c r="H11" s="20"/>
      <c r="I11" s="36">
        <f>G11</f>
        <v>8400</v>
      </c>
      <c r="J11" s="31"/>
      <c r="K11" s="36">
        <f>I11/E11</f>
        <v>42</v>
      </c>
    </row>
    <row r="12" spans="2:11" x14ac:dyDescent="0.2">
      <c r="B12" s="15" t="s">
        <v>191</v>
      </c>
      <c r="C12" s="58" t="d">
        <v>2024-11-25</v>
      </c>
      <c r="D12" s="53"/>
      <c r="E12" s="17">
        <v>-200</v>
      </c>
      <c r="F12" s="21">
        <v>37</v>
      </c>
      <c r="G12" s="44">
        <f>E12*F12</f>
        <v>-7400</v>
      </c>
      <c r="H12" s="20"/>
      <c r="I12" s="36">
        <f>I11+G12</f>
        <v>1000</v>
      </c>
      <c r="J12" s="31"/>
      <c r="K12" s="36" t="e">
        <f>I12/SUM($E$11:E12)</f>
        <v>#DIV/0!</v>
      </c>
    </row>
    <row r="13" spans="2:11" ht="16" x14ac:dyDescent="0.2">
      <c r="B13" s="39" t="s">
        <v>208</v>
      </c>
      <c r="C13" s="58" t="d">
        <v>2024-12-21</v>
      </c>
      <c r="D13" s="53"/>
      <c r="E13" s="17">
        <v>200</v>
      </c>
      <c r="F13" s="21">
        <v>35.5</v>
      </c>
      <c r="G13" s="44">
        <f t="shared" ref="G13:G21" si="0">E13*F13</f>
        <v>7100</v>
      </c>
      <c r="H13" s="20"/>
      <c r="I13" s="36">
        <f>I12+G13</f>
        <v>8100</v>
      </c>
      <c r="J13" s="31"/>
      <c r="K13" s="36">
        <f>I13/SUM($E$11:E13)</f>
        <v>40.5</v>
      </c>
    </row>
    <row r="14" spans="2:11" x14ac:dyDescent="0.2">
      <c r="B14" s="15" t="s">
        <v>24</v>
      </c>
      <c r="C14" s="58" t="d">
        <v>2024-12-23</v>
      </c>
      <c r="D14" s="53"/>
      <c r="E14" s="17"/>
      <c r="F14" s="21"/>
      <c r="G14" s="44">
        <v>-80.5</v>
      </c>
      <c r="H14" s="20"/>
      <c r="I14" s="36">
        <f t="shared" ref="I14:I21" si="1">I13+G14</f>
        <v>8019.5</v>
      </c>
      <c r="J14" s="31"/>
      <c r="K14" s="36">
        <f>I14/SUM($E$11:E14)</f>
        <v>40.097499999999997</v>
      </c>
    </row>
    <row r="15" spans="2:11" x14ac:dyDescent="0.2">
      <c r="B15" s="15" t="s">
        <v>229</v>
      </c>
      <c r="C15" s="58" t="d">
        <v>2025-01-18</v>
      </c>
      <c r="D15" s="53"/>
      <c r="E15" s="17">
        <v>-200</v>
      </c>
      <c r="F15" s="21">
        <v>35.5</v>
      </c>
      <c r="G15" s="44">
        <f t="shared" si="0"/>
        <v>-7100</v>
      </c>
      <c r="H15" s="20"/>
      <c r="I15" s="36">
        <f t="shared" si="1"/>
        <v>919.5</v>
      </c>
      <c r="J15" s="31"/>
      <c r="K15" s="36" t="e">
        <f>I15/SUM($E$11:E15)</f>
        <v>#DIV/0!</v>
      </c>
    </row>
    <row r="16" spans="2:11" x14ac:dyDescent="0.2">
      <c r="B16" s="15"/>
      <c r="C16" s="58"/>
      <c r="D16" s="53"/>
      <c r="E16" s="17"/>
      <c r="F16" s="21"/>
      <c r="G16" s="44">
        <f t="shared" si="0"/>
        <v>0</v>
      </c>
      <c r="H16" s="20"/>
      <c r="I16" s="36">
        <f t="shared" si="1"/>
        <v>919.5</v>
      </c>
      <c r="J16" s="31"/>
      <c r="K16" s="36" t="e">
        <f>I16/SUM($E$11:E16)</f>
        <v>#DIV/0!</v>
      </c>
    </row>
    <row r="17" spans="2:11" x14ac:dyDescent="0.2">
      <c r="B17" s="15"/>
      <c r="C17" s="58"/>
      <c r="D17" s="53"/>
      <c r="E17" s="17"/>
      <c r="F17" s="21"/>
      <c r="G17" s="44">
        <f t="shared" si="0"/>
        <v>0</v>
      </c>
      <c r="H17" s="20"/>
      <c r="I17" s="36">
        <f t="shared" si="1"/>
        <v>919.5</v>
      </c>
      <c r="J17" s="31"/>
      <c r="K17" s="36" t="e">
        <f>I17/SUM($E$11:E17)</f>
        <v>#DIV/0!</v>
      </c>
    </row>
    <row r="18" spans="2:11" x14ac:dyDescent="0.2">
      <c r="B18" s="15"/>
      <c r="C18" s="58"/>
      <c r="D18" s="53"/>
      <c r="E18" s="17"/>
      <c r="F18" s="21"/>
      <c r="G18" s="44">
        <f t="shared" si="0"/>
        <v>0</v>
      </c>
      <c r="H18" s="20"/>
      <c r="I18" s="36">
        <f t="shared" si="1"/>
        <v>919.5</v>
      </c>
      <c r="J18" s="31"/>
      <c r="K18" s="36" t="e">
        <f>I18/SUM($E$11:E18)</f>
        <v>#DIV/0!</v>
      </c>
    </row>
    <row r="19" spans="2:11" x14ac:dyDescent="0.2">
      <c r="B19" s="15"/>
      <c r="C19" s="58"/>
      <c r="D19" s="53"/>
      <c r="E19" s="17"/>
      <c r="F19" s="21"/>
      <c r="G19" s="44">
        <f t="shared" si="0"/>
        <v>0</v>
      </c>
      <c r="H19" s="20"/>
      <c r="I19" s="36">
        <f t="shared" si="1"/>
        <v>919.5</v>
      </c>
      <c r="J19" s="31"/>
      <c r="K19" s="36" t="e">
        <f>I19/SUM($E$11:E19)</f>
        <v>#DIV/0!</v>
      </c>
    </row>
    <row r="20" spans="2:11" x14ac:dyDescent="0.2">
      <c r="B20" s="15"/>
      <c r="C20" s="58"/>
      <c r="D20" s="53"/>
      <c r="E20" s="17"/>
      <c r="F20" s="21"/>
      <c r="G20" s="44">
        <f t="shared" si="0"/>
        <v>0</v>
      </c>
      <c r="H20" s="20"/>
      <c r="I20" s="36">
        <f t="shared" si="1"/>
        <v>919.5</v>
      </c>
      <c r="J20" s="31"/>
      <c r="K20" s="36" t="e">
        <f>I20/SUM($E$11:E20)</f>
        <v>#DIV/0!</v>
      </c>
    </row>
    <row r="21" spans="2:11" x14ac:dyDescent="0.2">
      <c r="B21" s="15"/>
      <c r="C21" s="58"/>
      <c r="D21" s="53"/>
      <c r="E21" s="17"/>
      <c r="F21" s="21"/>
      <c r="G21" s="44">
        <f t="shared" si="0"/>
        <v>0</v>
      </c>
      <c r="H21" s="20"/>
      <c r="I21" s="36">
        <f t="shared" si="1"/>
        <v>919.5</v>
      </c>
      <c r="J21" s="31"/>
      <c r="K21" s="36" t="e">
        <f>I21/SUM($E$11:E21)</f>
        <v>#DIV/0!</v>
      </c>
    </row>
    <row r="22" spans="2:11" x14ac:dyDescent="0.2">
      <c r="B22" s="15"/>
      <c r="C22" s="58"/>
      <c r="D22" s="53"/>
      <c r="E22" s="17"/>
      <c r="F22" s="18"/>
      <c r="G22" s="130">
        <f>SUM(G11:G21)</f>
        <v>919.5</v>
      </c>
      <c r="H22" s="20"/>
      <c r="I22" s="19"/>
      <c r="J22" s="31"/>
      <c r="K22" s="22" t="e">
        <f>SUM(G11:G21)/SUM(E11:E21)</f>
        <v>#DIV/0!</v>
      </c>
    </row>
    <row r="23" spans="2:11" ht="6" customHeight="1" x14ac:dyDescent="0.2">
      <c r="B23" s="15"/>
      <c r="C23" s="58"/>
      <c r="D23" s="53"/>
      <c r="E23" s="17"/>
      <c r="F23" s="18"/>
      <c r="G23" s="19"/>
      <c r="H23" s="20"/>
      <c r="I23" s="20"/>
      <c r="J23" s="31"/>
      <c r="K23" s="17"/>
    </row>
    <row r="24" spans="2:11" ht="6.5" customHeight="1" x14ac:dyDescent="0.2">
      <c r="B24" s="15"/>
      <c r="C24" s="58"/>
      <c r="D24" s="53"/>
      <c r="E24" s="17"/>
      <c r="F24" s="18"/>
      <c r="G24" s="19"/>
      <c r="H24" s="20"/>
      <c r="I24" s="20"/>
      <c r="J24" s="31"/>
      <c r="K24" s="17"/>
    </row>
    <row r="25" spans="2:11" ht="16" x14ac:dyDescent="0.2">
      <c r="B25" s="39" t="s">
        <v>46</v>
      </c>
      <c r="C25" s="58" t="d">
        <v>2024-07-24</v>
      </c>
      <c r="D25" s="53"/>
      <c r="E25" s="17"/>
      <c r="F25" s="21">
        <v>36.1</v>
      </c>
      <c r="G25" s="36">
        <f>-24*4</f>
        <v>-96</v>
      </c>
      <c r="H25" s="20"/>
      <c r="I25" s="36">
        <f>I13+G25</f>
        <v>8004</v>
      </c>
      <c r="J25" s="31" t="s">
        <v>10</v>
      </c>
      <c r="K25" s="36" t="e">
        <f>I25/SUM($E$11:E25)</f>
        <v>#DIV/0!</v>
      </c>
    </row>
    <row r="26" spans="2:11" ht="16" x14ac:dyDescent="0.2">
      <c r="B26" s="39" t="s">
        <v>47</v>
      </c>
      <c r="C26" s="58" t="d">
        <v>2024-08-05</v>
      </c>
      <c r="D26" s="53"/>
      <c r="E26" s="17"/>
      <c r="F26" s="21"/>
      <c r="G26" s="36">
        <f>-21*4</f>
        <v>-84</v>
      </c>
      <c r="H26" s="17"/>
      <c r="I26" s="36">
        <f>I25+G26</f>
        <v>7920</v>
      </c>
      <c r="J26" s="31" t="s">
        <v>10</v>
      </c>
      <c r="K26" s="36" t="e">
        <f>I26/SUM($E$11:E26)</f>
        <v>#DIV/0!</v>
      </c>
    </row>
    <row r="27" spans="2:11" ht="16" customHeight="1" x14ac:dyDescent="0.2">
      <c r="B27" s="39" t="s">
        <v>70</v>
      </c>
      <c r="C27" s="58" t="d">
        <v>2024-08-15</v>
      </c>
      <c r="D27" s="53"/>
      <c r="E27" s="17"/>
      <c r="G27" s="36">
        <v>-105</v>
      </c>
      <c r="H27" s="17"/>
      <c r="I27" s="36">
        <f t="shared" ref="I27:I32" si="2">I26+G27</f>
        <v>7815</v>
      </c>
      <c r="J27" s="31" t="s">
        <v>10</v>
      </c>
      <c r="K27" s="36" t="e">
        <f>I27/SUM($E$11:E27)</f>
        <v>#DIV/0!</v>
      </c>
    </row>
    <row r="28" spans="2:11" ht="16" customHeight="1" x14ac:dyDescent="0.2">
      <c r="B28" s="39" t="s">
        <v>71</v>
      </c>
      <c r="C28" s="58" t="d">
        <v>2024-08-22</v>
      </c>
      <c r="D28" s="53"/>
      <c r="E28" s="17"/>
      <c r="F28" s="18"/>
      <c r="G28" s="36">
        <v>-100</v>
      </c>
      <c r="H28" s="17"/>
      <c r="I28" s="36">
        <f t="shared" si="2"/>
        <v>7715</v>
      </c>
      <c r="J28" s="31" t="s">
        <v>10</v>
      </c>
      <c r="K28" s="36" t="e">
        <f>I28/SUM($E$11:E28)</f>
        <v>#DIV/0!</v>
      </c>
    </row>
    <row r="29" spans="2:11" ht="16" x14ac:dyDescent="0.2">
      <c r="B29" s="39" t="s">
        <v>72</v>
      </c>
      <c r="C29" s="58" t="d">
        <v>2024-09-03</v>
      </c>
      <c r="D29" s="53"/>
      <c r="E29" s="17"/>
      <c r="F29" s="18"/>
      <c r="G29" s="36">
        <v>-44</v>
      </c>
      <c r="H29" s="17"/>
      <c r="I29" s="36">
        <f t="shared" si="2"/>
        <v>7671</v>
      </c>
      <c r="J29" s="31" t="s">
        <v>10</v>
      </c>
      <c r="K29" s="36" t="e">
        <f>I29/SUM($E$11:E29)</f>
        <v>#DIV/0!</v>
      </c>
    </row>
    <row r="30" spans="2:11" ht="16" x14ac:dyDescent="0.2">
      <c r="B30" s="39" t="s">
        <v>74</v>
      </c>
      <c r="C30" s="58" t="d">
        <v>2024-09-23</v>
      </c>
      <c r="D30" s="53">
        <v>4</v>
      </c>
      <c r="E30" s="17"/>
      <c r="F30" s="18">
        <v>40</v>
      </c>
      <c r="G30" s="36">
        <v>-14</v>
      </c>
      <c r="H30" s="17"/>
      <c r="I30" s="36">
        <f t="shared" si="2"/>
        <v>7657</v>
      </c>
      <c r="J30" s="31" t="s">
        <v>10</v>
      </c>
      <c r="K30" s="36" t="e">
        <f>I30/SUM($E$11:E30)</f>
        <v>#DIV/0!</v>
      </c>
    </row>
    <row r="31" spans="2:11" ht="16" x14ac:dyDescent="0.2">
      <c r="B31" s="39" t="s">
        <v>84</v>
      </c>
      <c r="C31" s="58" t="d">
        <v>2024-10-02</v>
      </c>
      <c r="D31" s="53"/>
      <c r="E31" s="17"/>
      <c r="F31" s="18"/>
      <c r="G31" s="36">
        <v>-25</v>
      </c>
      <c r="H31" s="17"/>
      <c r="I31" s="36">
        <f t="shared" si="2"/>
        <v>7632</v>
      </c>
      <c r="J31" s="31" t="s">
        <v>10</v>
      </c>
      <c r="K31" s="36" t="e">
        <f>I31/SUM($E$11:E31)</f>
        <v>#DIV/0!</v>
      </c>
    </row>
    <row r="32" spans="2:11" ht="16" x14ac:dyDescent="0.2">
      <c r="B32" s="39" t="s">
        <v>102</v>
      </c>
      <c r="C32" s="58" t="d">
        <v>2024-10-22</v>
      </c>
      <c r="D32" s="53"/>
      <c r="E32" s="17"/>
      <c r="F32" s="18"/>
      <c r="G32" s="36">
        <f>-28*2</f>
        <v>-56</v>
      </c>
      <c r="H32" s="17"/>
      <c r="I32" s="36">
        <f t="shared" si="2"/>
        <v>7576</v>
      </c>
      <c r="J32" s="31" t="s">
        <v>122</v>
      </c>
      <c r="K32" s="36" t="e">
        <f>I32/SUM($E$11:E32)</f>
        <v>#DIV/0!</v>
      </c>
    </row>
    <row r="33" spans="2:11" ht="16" x14ac:dyDescent="0.2">
      <c r="B33" s="39" t="s">
        <v>109</v>
      </c>
      <c r="C33" s="58" t="d">
        <v>2024-10-30</v>
      </c>
      <c r="D33" s="53"/>
      <c r="E33" s="17"/>
      <c r="F33" s="18"/>
      <c r="G33" s="36">
        <f>-3*23</f>
        <v>-69</v>
      </c>
      <c r="H33" s="17"/>
      <c r="I33" s="36">
        <f t="shared" ref="I33:I82" si="3">I32+G33</f>
        <v>7507</v>
      </c>
      <c r="J33" s="31" t="s">
        <v>10</v>
      </c>
      <c r="K33" s="36" t="e">
        <f>I33/SUM($E$11:E33)</f>
        <v>#DIV/0!</v>
      </c>
    </row>
    <row r="34" spans="2:11" ht="16" x14ac:dyDescent="0.2">
      <c r="B34" s="39" t="s">
        <v>124</v>
      </c>
      <c r="C34" s="58" t="d">
        <v>2024-11-04</v>
      </c>
      <c r="D34" s="53"/>
      <c r="E34" s="17"/>
      <c r="F34" s="18"/>
      <c r="G34" s="36">
        <f>-94*2</f>
        <v>-188</v>
      </c>
      <c r="H34" s="17"/>
      <c r="I34" s="36">
        <f t="shared" si="3"/>
        <v>7319</v>
      </c>
      <c r="J34" s="31" t="s">
        <v>10</v>
      </c>
      <c r="K34" s="36" t="e">
        <f>I34/SUM($E$11:E34)</f>
        <v>#DIV/0!</v>
      </c>
    </row>
    <row r="35" spans="2:11" ht="16" x14ac:dyDescent="0.2">
      <c r="B35" s="39" t="s">
        <v>172</v>
      </c>
      <c r="C35" s="58" t="d">
        <v>2024-11-06</v>
      </c>
      <c r="D35" s="53"/>
      <c r="E35" s="17"/>
      <c r="F35" s="18"/>
      <c r="G35" s="36">
        <f>-95*4</f>
        <v>-380</v>
      </c>
      <c r="H35" s="17"/>
      <c r="I35" s="36">
        <f t="shared" si="3"/>
        <v>6939</v>
      </c>
      <c r="J35" s="31" t="s">
        <v>10</v>
      </c>
      <c r="K35" s="36" t="e">
        <f>I35/SUM($E$11:E35)</f>
        <v>#DIV/0!</v>
      </c>
    </row>
    <row r="36" spans="2:11" ht="16" x14ac:dyDescent="0.2">
      <c r="B36" s="39" t="s">
        <v>132</v>
      </c>
      <c r="C36" s="58" t="d">
        <v>2024-11-11</v>
      </c>
      <c r="D36" s="53"/>
      <c r="E36" s="17"/>
      <c r="F36" s="18"/>
      <c r="G36" s="36">
        <f>-38*2</f>
        <v>-76</v>
      </c>
      <c r="H36" s="17"/>
      <c r="I36" s="36">
        <f t="shared" si="3"/>
        <v>6863</v>
      </c>
      <c r="J36" s="31" t="s">
        <v>10</v>
      </c>
      <c r="K36" s="36" t="e">
        <f>I36/SUM($E$11:E36)</f>
        <v>#DIV/0!</v>
      </c>
    </row>
    <row r="37" spans="2:11" ht="16" x14ac:dyDescent="0.2">
      <c r="B37" s="39" t="s">
        <v>142</v>
      </c>
      <c r="C37" s="58" t="d">
        <v>2024-11-15</v>
      </c>
      <c r="D37" s="53"/>
      <c r="E37" s="17"/>
      <c r="F37" s="18"/>
      <c r="G37" s="36">
        <f>-16*6</f>
        <v>-96</v>
      </c>
      <c r="H37" s="17"/>
      <c r="I37" s="36">
        <f t="shared" si="3"/>
        <v>6767</v>
      </c>
      <c r="J37" s="31" t="s">
        <v>10</v>
      </c>
      <c r="K37" s="36" t="e">
        <f>I37/SUM($E$11:E37)</f>
        <v>#DIV/0!</v>
      </c>
    </row>
    <row r="38" spans="2:11" ht="16" x14ac:dyDescent="0.2">
      <c r="B38" s="39" t="s">
        <v>188</v>
      </c>
      <c r="C38" s="58" t="d">
        <v>2024-11-18</v>
      </c>
      <c r="D38" s="53"/>
      <c r="E38" s="17"/>
      <c r="F38" s="18"/>
      <c r="G38" s="36">
        <f>-43*2</f>
        <v>-86</v>
      </c>
      <c r="H38" s="17"/>
      <c r="I38" s="36">
        <f t="shared" si="3"/>
        <v>6681</v>
      </c>
      <c r="J38" s="31" t="s">
        <v>122</v>
      </c>
      <c r="K38" s="36" t="e">
        <f>I38/SUM($E$11:E38)</f>
        <v>#DIV/0!</v>
      </c>
    </row>
    <row r="39" spans="2:11" ht="16" x14ac:dyDescent="0.2">
      <c r="B39" s="39" t="s">
        <v>186</v>
      </c>
      <c r="C39" s="58" t="d">
        <v>2024-11-25</v>
      </c>
      <c r="D39" s="53"/>
      <c r="E39" s="17"/>
      <c r="F39" s="18"/>
      <c r="G39" s="36">
        <f>-49*4</f>
        <v>-196</v>
      </c>
      <c r="H39" s="17"/>
      <c r="I39" s="36">
        <f t="shared" si="3"/>
        <v>6485</v>
      </c>
      <c r="J39" s="31" t="s">
        <v>10</v>
      </c>
      <c r="K39" s="36" t="e">
        <f>I39/SUM($E$11:E39)</f>
        <v>#DIV/0!</v>
      </c>
    </row>
    <row r="40" spans="2:11" ht="16" x14ac:dyDescent="0.2">
      <c r="B40" s="39" t="s">
        <v>173</v>
      </c>
      <c r="C40" s="58" t="d">
        <v>2024-11-25</v>
      </c>
      <c r="D40" s="53"/>
      <c r="E40" s="17"/>
      <c r="F40" s="18"/>
      <c r="G40" s="36">
        <v>-24</v>
      </c>
      <c r="H40" s="17"/>
      <c r="I40" s="36">
        <f t="shared" si="3"/>
        <v>6461</v>
      </c>
      <c r="J40" s="31" t="s">
        <v>10</v>
      </c>
      <c r="K40" s="36" t="e">
        <f>I40/SUM($E$11:E40)</f>
        <v>#DIV/0!</v>
      </c>
    </row>
    <row r="41" spans="2:11" ht="16" x14ac:dyDescent="0.2">
      <c r="B41" s="39" t="s">
        <v>187</v>
      </c>
      <c r="C41" s="58" t="d">
        <v>2024-11-25</v>
      </c>
      <c r="D41" s="16"/>
      <c r="E41" s="17"/>
      <c r="F41" s="18"/>
      <c r="G41" s="36">
        <v>-39</v>
      </c>
      <c r="H41" s="17"/>
      <c r="I41" s="36">
        <f t="shared" si="3"/>
        <v>6422</v>
      </c>
      <c r="J41" s="31" t="s">
        <v>10</v>
      </c>
      <c r="K41" s="36" t="e">
        <f>I41/SUM($E$11:E41)</f>
        <v>#DIV/0!</v>
      </c>
    </row>
    <row r="42" spans="2:11" ht="16" x14ac:dyDescent="0.2">
      <c r="B42" s="39" t="s">
        <v>189</v>
      </c>
      <c r="C42" s="58" t="d">
        <v>2024-12-04</v>
      </c>
      <c r="D42" s="16"/>
      <c r="E42" s="17"/>
      <c r="F42" s="18"/>
      <c r="G42" s="36">
        <f>-18*5</f>
        <v>-90</v>
      </c>
      <c r="H42" s="17"/>
      <c r="I42" s="36">
        <f t="shared" si="3"/>
        <v>6332</v>
      </c>
      <c r="J42" s="31" t="s">
        <v>10</v>
      </c>
      <c r="K42" s="36" t="e">
        <f>I42/SUM($E$11:E42)</f>
        <v>#DIV/0!</v>
      </c>
    </row>
    <row r="43" spans="2:11" ht="16" x14ac:dyDescent="0.2">
      <c r="B43" s="39" t="s">
        <v>207</v>
      </c>
      <c r="C43" s="58" t="d">
        <v>2024-12-13</v>
      </c>
      <c r="D43" s="16"/>
      <c r="E43" s="17"/>
      <c r="F43" s="18"/>
      <c r="G43" s="36">
        <f>-21*2</f>
        <v>-42</v>
      </c>
      <c r="H43" s="17"/>
      <c r="I43" s="36">
        <f t="shared" si="3"/>
        <v>6290</v>
      </c>
      <c r="J43" s="31" t="s">
        <v>122</v>
      </c>
      <c r="K43" s="36" t="e">
        <f>I43/SUM($E$11:E43)</f>
        <v>#DIV/0!</v>
      </c>
    </row>
    <row r="44" spans="2:11" ht="16" x14ac:dyDescent="0.2">
      <c r="B44" s="39" t="s">
        <v>209</v>
      </c>
      <c r="C44" s="58" t="d">
        <v>2024-12-23</v>
      </c>
      <c r="D44" s="16"/>
      <c r="E44" s="17"/>
      <c r="F44" s="18">
        <v>34.01</v>
      </c>
      <c r="G44" s="36">
        <f>-11*2</f>
        <v>-22</v>
      </c>
      <c r="H44" s="20"/>
      <c r="I44" s="36">
        <f t="shared" si="3"/>
        <v>6268</v>
      </c>
      <c r="J44" s="31" t="s">
        <v>10</v>
      </c>
      <c r="K44" s="36" t="e">
        <f>I44/SUM($E$11:E44)</f>
        <v>#DIV/0!</v>
      </c>
    </row>
    <row r="45" spans="2:11" ht="19" customHeight="1" x14ac:dyDescent="0.2">
      <c r="B45" s="39" t="s">
        <v>219</v>
      </c>
      <c r="C45" s="58" t="d">
        <v>2025-01-06</v>
      </c>
      <c r="D45" s="16"/>
      <c r="E45" s="17"/>
      <c r="F45" s="18">
        <v>35</v>
      </c>
      <c r="G45" s="36">
        <f>-13*2</f>
        <v>-26</v>
      </c>
      <c r="H45" s="20"/>
      <c r="I45" s="36">
        <f t="shared" si="3"/>
        <v>6242</v>
      </c>
      <c r="J45" s="31" t="s">
        <v>10</v>
      </c>
      <c r="K45" s="36" t="e">
        <f>I45/SUM($E$11:E45)</f>
        <v>#DIV/0!</v>
      </c>
    </row>
    <row r="46" spans="2:11" ht="16" x14ac:dyDescent="0.2">
      <c r="B46" s="39" t="s">
        <v>224</v>
      </c>
      <c r="C46" s="58" t="d">
        <v>2025-01-13</v>
      </c>
      <c r="D46" s="16"/>
      <c r="E46" s="17"/>
      <c r="F46" s="18"/>
      <c r="G46" s="36">
        <v>-33</v>
      </c>
      <c r="H46" s="20"/>
      <c r="I46" s="36">
        <f t="shared" si="3"/>
        <v>6209</v>
      </c>
      <c r="J46" s="31" t="s">
        <v>10</v>
      </c>
      <c r="K46" s="36" t="e">
        <f>I46/SUM($E$11:E46)</f>
        <v>#DIV/0!</v>
      </c>
    </row>
    <row r="47" spans="2:11" ht="17" customHeight="1" x14ac:dyDescent="0.2">
      <c r="B47" s="39" t="s">
        <v>225</v>
      </c>
      <c r="C47" s="58" t="d">
        <v>2025-01-13</v>
      </c>
      <c r="D47" s="16"/>
      <c r="E47" s="17"/>
      <c r="F47" s="18"/>
      <c r="G47" s="36">
        <f>-45*2</f>
        <v>-90</v>
      </c>
      <c r="H47" s="20"/>
      <c r="I47" s="36">
        <f t="shared" si="3"/>
        <v>6119</v>
      </c>
      <c r="J47" s="31" t="s">
        <v>122</v>
      </c>
      <c r="K47" s="36" t="e">
        <f>I47/SUM($E$11:E47)</f>
        <v>#DIV/0!</v>
      </c>
    </row>
    <row r="48" spans="2:11" ht="16" x14ac:dyDescent="0.2">
      <c r="B48" s="39" t="s">
        <v>230</v>
      </c>
      <c r="C48" s="58" t="d">
        <v>2025-01-21</v>
      </c>
      <c r="D48" s="16"/>
      <c r="E48" s="17"/>
      <c r="F48" s="18"/>
      <c r="G48" s="36">
        <f>-5*21</f>
        <v>-105</v>
      </c>
      <c r="H48" s="20"/>
      <c r="I48" s="36">
        <f t="shared" si="3"/>
        <v>6014</v>
      </c>
      <c r="J48" s="31" t="s">
        <v>10</v>
      </c>
      <c r="K48" s="36" t="e">
        <f>I48/SUM($E$11:E48)</f>
        <v>#DIV/0!</v>
      </c>
    </row>
    <row r="49" spans="2:11" ht="16" x14ac:dyDescent="0.2">
      <c r="B49" s="39" t="s">
        <v>277</v>
      </c>
      <c r="C49" s="58" t="d">
        <v>2025-02-05</v>
      </c>
      <c r="D49" s="16"/>
      <c r="E49" s="17"/>
      <c r="F49" s="18"/>
      <c r="G49" s="36">
        <f>-22*5</f>
        <v>-110</v>
      </c>
      <c r="H49" s="20"/>
      <c r="I49" s="36">
        <f t="shared" si="3"/>
        <v>5904</v>
      </c>
      <c r="J49" s="31" t="s">
        <v>10</v>
      </c>
      <c r="K49" s="36" t="e">
        <f>I49/SUM($E$11:E49)</f>
        <v>#DIV/0!</v>
      </c>
    </row>
    <row r="50" spans="2:11" ht="16" x14ac:dyDescent="0.2">
      <c r="B50" s="39" t="s">
        <v>351</v>
      </c>
      <c r="C50" s="58" t="d">
        <v>2025-02-11</v>
      </c>
      <c r="D50" s="16"/>
      <c r="E50" s="17"/>
      <c r="F50" s="18"/>
      <c r="G50" s="36">
        <f>-36*5</f>
        <v>-180</v>
      </c>
      <c r="H50" s="20"/>
      <c r="I50" s="36">
        <f t="shared" si="3"/>
        <v>5724</v>
      </c>
      <c r="J50" s="31" t="s">
        <v>10</v>
      </c>
      <c r="K50" s="36" t="e">
        <f>I50/SUM($E$11:E50)</f>
        <v>#DIV/0!</v>
      </c>
    </row>
    <row r="51" spans="2:11" ht="16" x14ac:dyDescent="0.2">
      <c r="B51" s="39" t="s">
        <v>352</v>
      </c>
      <c r="C51" s="58" t="d">
        <v>2025-04-07</v>
      </c>
      <c r="D51" s="16"/>
      <c r="E51" s="17"/>
      <c r="F51" s="18"/>
      <c r="G51" s="36">
        <f>-96*2</f>
        <v>-192</v>
      </c>
      <c r="H51" s="20"/>
      <c r="I51" s="36">
        <f t="shared" si="3"/>
        <v>5532</v>
      </c>
      <c r="J51" s="31" t="s">
        <v>10</v>
      </c>
      <c r="K51" s="36" t="e">
        <f>I51/SUM($E$11:E51)</f>
        <v>#DIV/0!</v>
      </c>
    </row>
    <row r="52" spans="2:11" ht="16" x14ac:dyDescent="0.2">
      <c r="B52" s="39" t="s">
        <v>353</v>
      </c>
      <c r="C52" s="58" t="d">
        <v>2025-04-17</v>
      </c>
      <c r="D52" s="16"/>
      <c r="E52" s="17"/>
      <c r="F52" s="18"/>
      <c r="G52" s="36">
        <f>-24*2</f>
        <v>-48</v>
      </c>
      <c r="H52" s="20"/>
      <c r="I52" s="36">
        <f t="shared" si="3"/>
        <v>5484</v>
      </c>
      <c r="J52" s="31" t="s">
        <v>10</v>
      </c>
      <c r="K52" s="36" t="e">
        <f>I52/SUM($E$11:E52)</f>
        <v>#DIV/0!</v>
      </c>
    </row>
    <row r="53" spans="2:11" ht="16" x14ac:dyDescent="0.2">
      <c r="B53" s="39" t="s">
        <v>376</v>
      </c>
      <c r="C53" s="58" t="d">
        <v>2025-04-22</v>
      </c>
      <c r="D53" s="16"/>
      <c r="E53" s="17"/>
      <c r="F53" s="18"/>
      <c r="G53" s="36">
        <v>-43</v>
      </c>
      <c r="H53" s="20"/>
      <c r="I53" s="36">
        <f t="shared" si="3"/>
        <v>5441</v>
      </c>
      <c r="J53" s="31" t="s">
        <v>281</v>
      </c>
      <c r="K53" s="36" t="e">
        <f>I53/SUM($E$11:E53)</f>
        <v>#DIV/0!</v>
      </c>
    </row>
    <row r="54" spans="2:11" ht="16" x14ac:dyDescent="0.2">
      <c r="B54" s="39" t="s">
        <v>417</v>
      </c>
      <c r="C54" s="58" t="d">
        <v>2025-04-30</v>
      </c>
      <c r="D54" s="16"/>
      <c r="E54" s="17"/>
      <c r="F54" s="18"/>
      <c r="G54" s="36">
        <v>-24</v>
      </c>
      <c r="H54" s="20"/>
      <c r="I54" s="36">
        <f t="shared" si="3"/>
        <v>5417</v>
      </c>
      <c r="J54" s="31" t="s">
        <v>10</v>
      </c>
      <c r="K54" s="36" t="e">
        <f>I54/SUM($E$11:E54)</f>
        <v>#DIV/0!</v>
      </c>
    </row>
    <row r="55" spans="2:11" ht="32" x14ac:dyDescent="0.2">
      <c r="B55" s="39" t="s">
        <v>418</v>
      </c>
      <c r="C55" s="58" t="d">
        <v>2025-05-02</v>
      </c>
      <c r="D55" s="16"/>
      <c r="E55" s="17"/>
      <c r="F55" s="18"/>
      <c r="G55" s="36">
        <v>-24</v>
      </c>
      <c r="H55" s="20"/>
      <c r="I55" s="36">
        <f t="shared" si="3"/>
        <v>5393</v>
      </c>
      <c r="J55" s="31" t="s">
        <v>10</v>
      </c>
      <c r="K55" s="36" t="e">
        <f>I55/SUM($E$11:E55)</f>
        <v>#DIV/0!</v>
      </c>
    </row>
    <row r="56" spans="2:11" ht="16" x14ac:dyDescent="0.2">
      <c r="B56" s="39" t="s">
        <v>441</v>
      </c>
      <c r="C56" s="58" t="d">
        <v>2025-05-13</v>
      </c>
      <c r="D56" s="16"/>
      <c r="E56" s="17"/>
      <c r="F56" s="18"/>
      <c r="G56" s="36">
        <f>-5*25</f>
        <v>-125</v>
      </c>
      <c r="H56" s="20"/>
      <c r="I56" s="36">
        <f t="shared" si="3"/>
        <v>5268</v>
      </c>
      <c r="J56" s="31" t="s">
        <v>281</v>
      </c>
      <c r="K56" s="36" t="e">
        <f>I56/SUM($E$11:E56)</f>
        <v>#DIV/0!</v>
      </c>
    </row>
    <row r="57" spans="2:11" ht="32" x14ac:dyDescent="0.2">
      <c r="B57" s="39" t="s">
        <v>611</v>
      </c>
      <c r="C57" s="58" t="d">
        <v>2025-05-20</v>
      </c>
      <c r="D57" s="16"/>
      <c r="E57" s="17"/>
      <c r="F57" s="18"/>
      <c r="G57" s="36">
        <f>-5*27</f>
        <v>-135</v>
      </c>
      <c r="H57" s="20"/>
      <c r="I57" s="36">
        <f t="shared" si="3"/>
        <v>5133</v>
      </c>
      <c r="J57" s="31" t="s">
        <v>281</v>
      </c>
      <c r="K57" s="36" t="e">
        <f>I57/SUM($E$11:E57)</f>
        <v>#DIV/0!</v>
      </c>
    </row>
    <row r="58" spans="2:11" ht="32" x14ac:dyDescent="0.2">
      <c r="B58" s="39" t="s">
        <v>612</v>
      </c>
      <c r="C58" s="58" t="d">
        <v>2025-05-27</v>
      </c>
      <c r="D58" s="16"/>
      <c r="E58" s="17"/>
      <c r="F58" s="18"/>
      <c r="G58" s="36">
        <f>-5*27</f>
        <v>-135</v>
      </c>
      <c r="H58" s="20"/>
      <c r="I58" s="36">
        <f t="shared" si="3"/>
        <v>4998</v>
      </c>
      <c r="J58" s="31" t="s">
        <v>281</v>
      </c>
      <c r="K58" s="36" t="e">
        <f>I58/SUM($E$11:E58)</f>
        <v>#DIV/0!</v>
      </c>
    </row>
    <row r="59" spans="2:11" ht="32" x14ac:dyDescent="0.2">
      <c r="B59" s="39" t="s">
        <v>613</v>
      </c>
      <c r="C59" s="58" t="d">
        <v>2025-06-06</v>
      </c>
      <c r="D59" s="16"/>
      <c r="E59" s="17"/>
      <c r="F59" s="18"/>
      <c r="G59" s="36">
        <f>-5*19</f>
        <v>-95</v>
      </c>
      <c r="H59" s="20"/>
      <c r="I59" s="36">
        <f t="shared" si="3"/>
        <v>4903</v>
      </c>
      <c r="J59" s="31" t="s">
        <v>10</v>
      </c>
      <c r="K59" s="36" t="e">
        <f>I59/SUM($E$11:E59)</f>
        <v>#DIV/0!</v>
      </c>
    </row>
    <row r="60" spans="2:11" ht="16" x14ac:dyDescent="0.2">
      <c r="B60" s="39" t="s">
        <v>614</v>
      </c>
      <c r="C60" s="58" t="d">
        <v>2025-06-10</v>
      </c>
      <c r="D60" s="16"/>
      <c r="E60" s="17"/>
      <c r="F60" s="18"/>
      <c r="G60" s="36">
        <v>-20</v>
      </c>
      <c r="H60" s="20"/>
      <c r="I60" s="36">
        <f t="shared" si="3"/>
        <v>4883</v>
      </c>
      <c r="J60" s="31" t="s">
        <v>10</v>
      </c>
      <c r="K60" s="36" t="e">
        <f>I60/SUM($E$11:E60)</f>
        <v>#DIV/0!</v>
      </c>
    </row>
    <row r="61" spans="2:11" ht="16" x14ac:dyDescent="0.2">
      <c r="B61" s="39" t="s">
        <v>615</v>
      </c>
      <c r="C61" s="58" t="d">
        <v>2025-07-02</v>
      </c>
      <c r="D61" s="16"/>
      <c r="E61" s="17"/>
      <c r="F61" s="18"/>
      <c r="G61" s="36">
        <v>-16</v>
      </c>
      <c r="H61" s="20"/>
      <c r="I61" s="36">
        <f t="shared" si="3"/>
        <v>4867</v>
      </c>
      <c r="J61" s="31" t="s">
        <v>10</v>
      </c>
      <c r="K61" s="36" t="e">
        <f>I61/SUM($E$11:E61)</f>
        <v>#DIV/0!</v>
      </c>
    </row>
    <row r="62" spans="2:11" ht="16" x14ac:dyDescent="0.2">
      <c r="B62" s="39" t="s">
        <v>607</v>
      </c>
      <c r="C62" s="58" t="d">
        <v>2025-09-25</v>
      </c>
      <c r="D62" s="16"/>
      <c r="E62" s="17"/>
      <c r="F62" s="18"/>
      <c r="G62" s="36">
        <f>-4*39</f>
        <v>-156</v>
      </c>
      <c r="H62" s="20"/>
      <c r="I62" s="36">
        <f t="shared" si="3"/>
        <v>4711</v>
      </c>
      <c r="J62" s="31" t="s">
        <v>10</v>
      </c>
      <c r="K62" s="36" t="e">
        <f>I62/SUM($E$11:E62)</f>
        <v>#DIV/0!</v>
      </c>
    </row>
    <row r="63" spans="2:11" ht="16" x14ac:dyDescent="0.2">
      <c r="B63" s="39" t="s">
        <v>608</v>
      </c>
      <c r="C63" s="58" t="d">
        <v>2025-10-01</v>
      </c>
      <c r="D63" s="16"/>
      <c r="E63" s="17"/>
      <c r="F63" s="18"/>
      <c r="G63" s="36">
        <v>8</v>
      </c>
      <c r="H63" s="20"/>
      <c r="I63" s="36">
        <f t="shared" si="3"/>
        <v>4719</v>
      </c>
      <c r="J63" s="31" t="s">
        <v>10</v>
      </c>
      <c r="K63" s="36" t="e">
        <f>I63/SUM($E$11:E63)</f>
        <v>#DIV/0!</v>
      </c>
    </row>
    <row r="64" spans="2:11" ht="16" x14ac:dyDescent="0.2">
      <c r="B64" s="39" t="s">
        <v>616</v>
      </c>
      <c r="C64" s="58" t="d">
        <v>2025-10-01</v>
      </c>
      <c r="D64" s="16"/>
      <c r="E64" s="17"/>
      <c r="F64" s="18"/>
      <c r="G64" s="36">
        <f>-2*41</f>
        <v>-82</v>
      </c>
      <c r="H64" s="20"/>
      <c r="I64" s="36">
        <f t="shared" si="3"/>
        <v>4637</v>
      </c>
      <c r="J64" s="31" t="s">
        <v>281</v>
      </c>
      <c r="K64" s="36" t="e">
        <f>I64/SUM($E$11:E64)</f>
        <v>#DIV/0!</v>
      </c>
    </row>
    <row r="65" spans="2:11" ht="16" x14ac:dyDescent="0.2">
      <c r="B65" s="39" t="s">
        <v>617</v>
      </c>
      <c r="C65" s="58" t="d">
        <v>2025-10-08</v>
      </c>
      <c r="D65" s="16"/>
      <c r="E65" s="17"/>
      <c r="F65" s="18"/>
      <c r="G65" s="36">
        <f>-3*40</f>
        <v>-120</v>
      </c>
      <c r="H65" s="20"/>
      <c r="I65" s="36">
        <f t="shared" si="3"/>
        <v>4517</v>
      </c>
      <c r="J65" s="31"/>
      <c r="K65" s="36" t="e">
        <f>I65/SUM($E$11:E65)</f>
        <v>#DIV/0!</v>
      </c>
    </row>
    <row r="66" spans="2:11" ht="32" x14ac:dyDescent="0.2">
      <c r="B66" s="39" t="s">
        <v>618</v>
      </c>
      <c r="C66" s="58" t="d">
        <v>2025-10-09</v>
      </c>
      <c r="D66" s="16"/>
      <c r="E66" s="17"/>
      <c r="F66" s="18"/>
      <c r="G66" s="36">
        <f>-34*2</f>
        <v>-68</v>
      </c>
      <c r="H66" s="20"/>
      <c r="I66" s="36">
        <f t="shared" si="3"/>
        <v>4449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7"/>
      <c r="F67" s="18"/>
      <c r="G67" s="36">
        <v>0</v>
      </c>
      <c r="H67" s="20"/>
      <c r="I67" s="36">
        <f t="shared" si="3"/>
        <v>4449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7"/>
      <c r="F68" s="18"/>
      <c r="G68" s="36">
        <v>0</v>
      </c>
      <c r="H68" s="20"/>
      <c r="I68" s="36">
        <f t="shared" si="3"/>
        <v>4449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7"/>
      <c r="F69" s="18"/>
      <c r="G69" s="36">
        <v>0</v>
      </c>
      <c r="H69" s="20"/>
      <c r="I69" s="36">
        <f t="shared" si="3"/>
        <v>4449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7"/>
      <c r="F70" s="18"/>
      <c r="G70" s="36">
        <v>0</v>
      </c>
      <c r="H70" s="20"/>
      <c r="I70" s="36">
        <f t="shared" si="3"/>
        <v>4449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7"/>
      <c r="F71" s="18"/>
      <c r="G71" s="36">
        <v>0</v>
      </c>
      <c r="H71" s="20"/>
      <c r="I71" s="36">
        <f t="shared" si="3"/>
        <v>4449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7"/>
      <c r="F72" s="18"/>
      <c r="G72" s="36">
        <v>0</v>
      </c>
      <c r="H72" s="20"/>
      <c r="I72" s="36">
        <f t="shared" si="3"/>
        <v>4449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7"/>
      <c r="F73" s="18"/>
      <c r="G73" s="36">
        <v>0</v>
      </c>
      <c r="H73" s="20"/>
      <c r="I73" s="36">
        <f t="shared" si="3"/>
        <v>4449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7"/>
      <c r="F74" s="18"/>
      <c r="G74" s="36">
        <v>0</v>
      </c>
      <c r="H74" s="20"/>
      <c r="I74" s="36">
        <f t="shared" si="3"/>
        <v>4449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7"/>
      <c r="F75" s="18"/>
      <c r="G75" s="36">
        <v>0</v>
      </c>
      <c r="H75" s="20"/>
      <c r="I75" s="36">
        <f t="shared" si="3"/>
        <v>4449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7"/>
      <c r="F76" s="18"/>
      <c r="G76" s="36">
        <v>0</v>
      </c>
      <c r="H76" s="20"/>
      <c r="I76" s="36">
        <f t="shared" si="3"/>
        <v>4449</v>
      </c>
      <c r="J76" s="31"/>
      <c r="K76" s="36" t="e">
        <f>I76/SUM($E$11:E76)</f>
        <v>#DIV/0!</v>
      </c>
    </row>
    <row r="77" spans="2:11" x14ac:dyDescent="0.2">
      <c r="B77" s="39"/>
      <c r="C77" s="58"/>
      <c r="D77" s="16"/>
      <c r="E77" s="17"/>
      <c r="F77" s="18"/>
      <c r="G77" s="36">
        <v>0</v>
      </c>
      <c r="H77" s="20"/>
      <c r="I77" s="36">
        <f t="shared" si="3"/>
        <v>4449</v>
      </c>
      <c r="J77" s="31"/>
      <c r="K77" s="36" t="e">
        <f>I77/SUM($E$11:E77)</f>
        <v>#DIV/0!</v>
      </c>
    </row>
    <row r="78" spans="2:11" x14ac:dyDescent="0.2">
      <c r="B78" s="39"/>
      <c r="C78" s="58"/>
      <c r="D78" s="16"/>
      <c r="E78" s="17"/>
      <c r="F78" s="18"/>
      <c r="G78" s="36">
        <v>0</v>
      </c>
      <c r="H78" s="20"/>
      <c r="I78" s="36">
        <f t="shared" si="3"/>
        <v>4449</v>
      </c>
      <c r="J78" s="31"/>
      <c r="K78" s="36" t="e">
        <f>I78/SUM($E$11:E78)</f>
        <v>#DIV/0!</v>
      </c>
    </row>
    <row r="79" spans="2:11" x14ac:dyDescent="0.2">
      <c r="B79" s="39"/>
      <c r="C79" s="58"/>
      <c r="D79" s="16"/>
      <c r="E79" s="17"/>
      <c r="F79" s="18"/>
      <c r="G79" s="36">
        <v>0</v>
      </c>
      <c r="H79" s="20"/>
      <c r="I79" s="36">
        <f t="shared" si="3"/>
        <v>4449</v>
      </c>
      <c r="J79" s="31"/>
      <c r="K79" s="36" t="e">
        <f>I79/SUM($E$11:E79)</f>
        <v>#DIV/0!</v>
      </c>
    </row>
    <row r="80" spans="2:11" x14ac:dyDescent="0.2">
      <c r="B80" s="39"/>
      <c r="C80" s="58"/>
      <c r="D80" s="16"/>
      <c r="E80" s="17"/>
      <c r="F80" s="18"/>
      <c r="G80" s="36">
        <v>0</v>
      </c>
      <c r="H80" s="20"/>
      <c r="I80" s="36">
        <f t="shared" si="3"/>
        <v>4449</v>
      </c>
      <c r="J80" s="31"/>
      <c r="K80" s="36" t="e">
        <f>I80/SUM($E$11:E80)</f>
        <v>#DIV/0!</v>
      </c>
    </row>
    <row r="81" spans="2:11" x14ac:dyDescent="0.2">
      <c r="B81" s="39"/>
      <c r="C81" s="58"/>
      <c r="D81" s="16"/>
      <c r="E81" s="17"/>
      <c r="F81" s="18"/>
      <c r="G81" s="36">
        <v>0</v>
      </c>
      <c r="H81" s="20"/>
      <c r="I81" s="36">
        <f t="shared" si="3"/>
        <v>4449</v>
      </c>
      <c r="J81" s="31"/>
      <c r="K81" s="36" t="e">
        <f>I81/SUM($E$11:E81)</f>
        <v>#DIV/0!</v>
      </c>
    </row>
    <row r="82" spans="2:11" x14ac:dyDescent="0.2">
      <c r="B82" s="39"/>
      <c r="C82" s="16"/>
      <c r="D82" s="16"/>
      <c r="E82" s="17"/>
      <c r="F82" s="18"/>
      <c r="G82" s="36">
        <v>0</v>
      </c>
      <c r="H82" s="20"/>
      <c r="I82" s="36">
        <f t="shared" si="3"/>
        <v>4449</v>
      </c>
      <c r="J82" s="31"/>
      <c r="K82" s="36" t="e">
        <f>I82/SUM($E$11:E82)</f>
        <v>#DIV/0!</v>
      </c>
    </row>
    <row r="83" spans="2:11" ht="19" x14ac:dyDescent="0.25">
      <c r="B83" s="68"/>
      <c r="C83" s="16"/>
      <c r="D83" s="16"/>
      <c r="E83" s="17"/>
      <c r="F83" s="18"/>
      <c r="G83" s="25">
        <f>SUM(G25:G82)</f>
        <v>-3651</v>
      </c>
      <c r="H83" s="20"/>
      <c r="I83" s="19"/>
      <c r="J83" s="31"/>
      <c r="K83" s="22">
        <f>I83/3400</f>
        <v>0</v>
      </c>
    </row>
    <row r="84" spans="2:11" ht="4.75" customHeight="1" x14ac:dyDescent="0.2">
      <c r="B84" s="15"/>
      <c r="C84" s="17"/>
      <c r="D84" s="17"/>
      <c r="E84" s="17"/>
      <c r="F84" s="18"/>
      <c r="G84" s="19"/>
      <c r="H84" s="20"/>
      <c r="I84" s="20"/>
      <c r="J84" s="31"/>
      <c r="K84" s="17"/>
    </row>
    <row r="85" spans="2:11" ht="23" customHeight="1" x14ac:dyDescent="0.25">
      <c r="B85" s="15"/>
      <c r="C85" s="17"/>
      <c r="D85" s="17"/>
      <c r="E85" s="17"/>
      <c r="F85" s="24"/>
      <c r="H85" s="20"/>
      <c r="I85" s="20"/>
      <c r="J85" s="31"/>
      <c r="K85" s="17"/>
    </row>
  </sheetData>
  <mergeCells count="1">
    <mergeCell ref="B8:G8"/>
  </mergeCells>
  <phoneticPr fontId="11" type="noConversion"/>
  <conditionalFormatting sqref="B13">
    <cfRule type="expression" dxfId="404" priority="36">
      <formula>AND(ISNUMBER(SEARCH("call", B13)), J13="expired")</formula>
    </cfRule>
    <cfRule type="expression" dxfId="403" priority="37">
      <formula>AND(ISNUMBER(SEARCH("call", B13)), J13="assigned")</formula>
    </cfRule>
    <cfRule type="expression" dxfId="402" priority="38">
      <formula>J13="assigned"</formula>
    </cfRule>
    <cfRule type="expression" dxfId="401" priority="39">
      <formula>J13="expired"</formula>
    </cfRule>
  </conditionalFormatting>
  <conditionalFormatting sqref="B25:B54 B67:B82">
    <cfRule type="expression" dxfId="400" priority="26" stopIfTrue="1">
      <formula>J25="ROLL"</formula>
    </cfRule>
    <cfRule type="expression" dxfId="399" priority="27" stopIfTrue="1">
      <formula>AND(ISNUMBER(SEARCH("call", B25)), J25="expired")</formula>
    </cfRule>
    <cfRule type="expression" dxfId="398" priority="28" stopIfTrue="1">
      <formula>AND(ISNUMBER(SEARCH("call", B25)), J25="assigned")</formula>
    </cfRule>
    <cfRule type="expression" dxfId="397" priority="29" stopIfTrue="1">
      <formula>J25="assigned"</formula>
    </cfRule>
    <cfRule type="expression" dxfId="396" priority="30">
      <formula>J25="expired"</formula>
    </cfRule>
  </conditionalFormatting>
  <conditionalFormatting sqref="B55">
    <cfRule type="expression" dxfId="395" priority="21" stopIfTrue="1">
      <formula>J55="ROLL"</formula>
    </cfRule>
    <cfRule type="expression" dxfId="394" priority="22" stopIfTrue="1">
      <formula>AND(ISNUMBER(SEARCH("call", B55)), J55="expired")</formula>
    </cfRule>
    <cfRule type="expression" dxfId="393" priority="23" stopIfTrue="1">
      <formula>AND(ISNUMBER(SEARCH("call", B55)), J55="assigned")</formula>
    </cfRule>
    <cfRule type="expression" dxfId="392" priority="24" stopIfTrue="1">
      <formula>J55="assigned"</formula>
    </cfRule>
    <cfRule type="expression" dxfId="391" priority="25">
      <formula>J55="expired"</formula>
    </cfRule>
  </conditionalFormatting>
  <conditionalFormatting sqref="B56">
    <cfRule type="expression" dxfId="390" priority="16" stopIfTrue="1">
      <formula>J56="ROLL"</formula>
    </cfRule>
    <cfRule type="expression" dxfId="389" priority="17" stopIfTrue="1">
      <formula>AND(ISNUMBER(SEARCH("call", B56)), J56="expired")</formula>
    </cfRule>
    <cfRule type="expression" dxfId="388" priority="18" stopIfTrue="1">
      <formula>AND(ISNUMBER(SEARCH("call", B56)), J56="assigned")</formula>
    </cfRule>
    <cfRule type="expression" dxfId="387" priority="19" stopIfTrue="1">
      <formula>J56="assigned"</formula>
    </cfRule>
    <cfRule type="expression" dxfId="386" priority="20">
      <formula>J56="expired"</formula>
    </cfRule>
  </conditionalFormatting>
  <conditionalFormatting sqref="B57:B59">
    <cfRule type="expression" dxfId="385" priority="11" stopIfTrue="1">
      <formula>J57="ROLL"</formula>
    </cfRule>
    <cfRule type="expression" dxfId="384" priority="12" stopIfTrue="1">
      <formula>AND(ISNUMBER(SEARCH("call", B57)), J57="expired")</formula>
    </cfRule>
    <cfRule type="expression" dxfId="383" priority="13" stopIfTrue="1">
      <formula>AND(ISNUMBER(SEARCH("call", B57)), J57="assigned")</formula>
    </cfRule>
    <cfRule type="expression" dxfId="382" priority="14" stopIfTrue="1">
      <formula>J57="assigned"</formula>
    </cfRule>
    <cfRule type="expression" dxfId="381" priority="15">
      <formula>J57="expired"</formula>
    </cfRule>
  </conditionalFormatting>
  <conditionalFormatting sqref="B60:B65">
    <cfRule type="expression" dxfId="380" priority="6" stopIfTrue="1">
      <formula>J60="ROLL"</formula>
    </cfRule>
    <cfRule type="expression" dxfId="379" priority="7" stopIfTrue="1">
      <formula>AND(ISNUMBER(SEARCH("call", B60)), J60="expired")</formula>
    </cfRule>
    <cfRule type="expression" dxfId="378" priority="8" stopIfTrue="1">
      <formula>AND(ISNUMBER(SEARCH("call", B60)), J60="assigned")</formula>
    </cfRule>
    <cfRule type="expression" dxfId="377" priority="9" stopIfTrue="1">
      <formula>J60="assigned"</formula>
    </cfRule>
    <cfRule type="expression" dxfId="376" priority="10">
      <formula>J60="expired"</formula>
    </cfRule>
  </conditionalFormatting>
  <conditionalFormatting sqref="B66">
    <cfRule type="expression" dxfId="375" priority="1" stopIfTrue="1">
      <formula>J66="ROLL"</formula>
    </cfRule>
    <cfRule type="expression" dxfId="374" priority="2" stopIfTrue="1">
      <formula>AND(ISNUMBER(SEARCH("call", B66)), J66="expired")</formula>
    </cfRule>
    <cfRule type="expression" dxfId="373" priority="3" stopIfTrue="1">
      <formula>AND(ISNUMBER(SEARCH("call", B66)), J66="assigned")</formula>
    </cfRule>
    <cfRule type="expression" dxfId="372" priority="4" stopIfTrue="1">
      <formula>J66="assigned"</formula>
    </cfRule>
    <cfRule type="expression" dxfId="371" priority="5">
      <formula>J66="expired"</formula>
    </cfRule>
  </conditionalFormatting>
  <pageMargins left="0.7" right="0.7" top="0.75" bottom="0.75" header="0.3" footer="0.3"/>
  <pageSetup paperSize="0" orientation="portrait" r:id="rId1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DA6B-CACB-5B4C-9427-1245E0A6E496}">
  <sheetPr codeName="Sheet17"/>
  <dimension ref="B1:K70"/>
  <sheetViews>
    <sheetView topLeftCell="A24" zoomScale="130" zoomScaleNormal="130" workbookViewId="0">
      <selection activeCell="J50" sqref="J50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customWidth="1"/>
    <col min="4" max="4" width="12.83203125" customWidth="1"/>
    <col min="5" max="5" width="10.83203125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</cols>
  <sheetData>
    <row r="1" spans="2:11" x14ac:dyDescent="0.2">
      <c r="B1" s="20"/>
    </row>
    <row r="2" spans="2:11" x14ac:dyDescent="0.2">
      <c r="B2" s="1"/>
      <c r="C2" s="2"/>
      <c r="D2" s="2"/>
      <c r="E2" s="2"/>
      <c r="F2" s="3"/>
      <c r="G2" s="4"/>
    </row>
    <row r="3" spans="2:11" ht="19" x14ac:dyDescent="0.25">
      <c r="B3" s="5"/>
      <c r="C3" s="6"/>
      <c r="D3" s="6"/>
      <c r="E3" s="6"/>
      <c r="F3" s="7" t="s">
        <v>0</v>
      </c>
      <c r="G3" s="8">
        <f>IF(ISERROR(SUM(G22,G70)/G4),SUM(G22,G70),SUM(G22,G70)/G4)</f>
        <v>329.5</v>
      </c>
      <c r="H3" t="s">
        <v>1</v>
      </c>
      <c r="J3" s="30">
        <v>249</v>
      </c>
      <c r="K3" s="6"/>
    </row>
    <row r="4" spans="2:11" x14ac:dyDescent="0.2">
      <c r="B4" s="1"/>
      <c r="C4" s="2"/>
      <c r="D4" s="2"/>
      <c r="E4" s="2"/>
      <c r="F4" s="3" t="s">
        <v>2</v>
      </c>
      <c r="G4" s="9">
        <f>E70</f>
        <v>0</v>
      </c>
    </row>
    <row r="5" spans="2:11" ht="16" x14ac:dyDescent="0.2">
      <c r="B5" s="10" t="s">
        <v>38</v>
      </c>
      <c r="C5" s="2"/>
      <c r="D5" s="2"/>
      <c r="E5" s="2"/>
      <c r="F5" s="3"/>
      <c r="G5" s="4"/>
    </row>
    <row r="6" spans="2:11" x14ac:dyDescent="0.2">
      <c r="B6" s="15"/>
      <c r="C6" s="17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15"/>
      <c r="C7" s="17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x14ac:dyDescent="0.2">
      <c r="B9" s="12" t="s">
        <v>11</v>
      </c>
      <c r="C9" s="11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12"/>
      <c r="C10" s="11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15" t="s">
        <v>123</v>
      </c>
      <c r="C11" s="58" t="d">
        <v>2024-11-02</v>
      </c>
      <c r="D11" s="53"/>
      <c r="E11" s="17">
        <v>300</v>
      </c>
      <c r="F11" s="21">
        <v>42</v>
      </c>
      <c r="G11" s="44">
        <f>E11*F11</f>
        <v>12600</v>
      </c>
      <c r="H11" s="20"/>
      <c r="I11" s="36">
        <f>G11</f>
        <v>12600</v>
      </c>
      <c r="J11" s="31"/>
      <c r="K11" s="36">
        <f>I11/E11</f>
        <v>42</v>
      </c>
    </row>
    <row r="12" spans="2:11" x14ac:dyDescent="0.2">
      <c r="B12" s="15" t="s">
        <v>216</v>
      </c>
      <c r="C12" s="58" t="d">
        <v>2024-11-21</v>
      </c>
      <c r="D12" s="53"/>
      <c r="E12" s="17">
        <v>-300</v>
      </c>
      <c r="F12" s="21">
        <v>37</v>
      </c>
      <c r="G12" s="44">
        <f>E12*F12</f>
        <v>-11100</v>
      </c>
      <c r="H12" s="20"/>
      <c r="I12" s="36">
        <f>I11+G12</f>
        <v>1500</v>
      </c>
      <c r="J12" s="31"/>
      <c r="K12" s="36" t="e">
        <f>I12/SUM($E$11:E12)</f>
        <v>#DIV/0!</v>
      </c>
    </row>
    <row r="13" spans="2:11" x14ac:dyDescent="0.2">
      <c r="B13" s="15" t="s">
        <v>217</v>
      </c>
      <c r="C13" s="58" t="d">
        <v>2024-12-21</v>
      </c>
      <c r="D13" s="53"/>
      <c r="E13" s="17">
        <v>200</v>
      </c>
      <c r="F13" s="21">
        <v>35.5</v>
      </c>
      <c r="G13" s="44">
        <f t="shared" ref="G13:G21" si="0">E13*F13</f>
        <v>7100</v>
      </c>
      <c r="H13" s="20"/>
      <c r="I13" s="36">
        <f>I12+G13</f>
        <v>8600</v>
      </c>
      <c r="J13" s="31"/>
      <c r="K13" s="36">
        <f>I13/SUM($E$11:E13)</f>
        <v>43</v>
      </c>
    </row>
    <row r="14" spans="2:11" x14ac:dyDescent="0.2">
      <c r="B14" s="15" t="s">
        <v>24</v>
      </c>
      <c r="C14" s="58" t="d">
        <v>2024-12-26</v>
      </c>
      <c r="D14" s="53"/>
      <c r="E14" s="17"/>
      <c r="F14" s="21"/>
      <c r="G14" s="44">
        <v>-80.5</v>
      </c>
      <c r="H14" s="20"/>
      <c r="I14" s="36">
        <f t="shared" ref="I14:I21" si="1">I13+G14</f>
        <v>8519.5</v>
      </c>
      <c r="J14" s="31"/>
      <c r="K14" s="36">
        <f>I14/SUM($E$11:E14)</f>
        <v>42.597499999999997</v>
      </c>
    </row>
    <row r="15" spans="2:11" x14ac:dyDescent="0.2">
      <c r="B15" s="15" t="s">
        <v>260</v>
      </c>
      <c r="C15" s="58" t="d">
        <v>2025-02-03</v>
      </c>
      <c r="D15" s="53"/>
      <c r="E15" s="17">
        <v>-200</v>
      </c>
      <c r="F15" s="21">
        <v>38</v>
      </c>
      <c r="G15" s="44">
        <f t="shared" si="0"/>
        <v>-7600</v>
      </c>
      <c r="H15" s="20"/>
      <c r="I15" s="36">
        <f t="shared" si="1"/>
        <v>919.5</v>
      </c>
      <c r="J15" s="31"/>
      <c r="K15" s="36" t="e">
        <f>I15/SUM($E$11:E15)</f>
        <v>#DIV/0!</v>
      </c>
    </row>
    <row r="16" spans="2:11" x14ac:dyDescent="0.2">
      <c r="B16" s="15"/>
      <c r="C16" s="58"/>
      <c r="D16" s="53"/>
      <c r="E16" s="17"/>
      <c r="F16" s="21"/>
      <c r="G16" s="44">
        <f t="shared" si="0"/>
        <v>0</v>
      </c>
      <c r="H16" s="20"/>
      <c r="I16" s="36">
        <f t="shared" si="1"/>
        <v>919.5</v>
      </c>
      <c r="J16" s="31"/>
      <c r="K16" s="36" t="e">
        <f>I16/SUM($E$11:E16)</f>
        <v>#DIV/0!</v>
      </c>
    </row>
    <row r="17" spans="2:11" x14ac:dyDescent="0.2">
      <c r="B17" s="15"/>
      <c r="C17" s="58"/>
      <c r="D17" s="53"/>
      <c r="E17" s="17"/>
      <c r="F17" s="21"/>
      <c r="G17" s="44">
        <f t="shared" si="0"/>
        <v>0</v>
      </c>
      <c r="H17" s="20"/>
      <c r="I17" s="36">
        <f t="shared" si="1"/>
        <v>919.5</v>
      </c>
      <c r="J17" s="31"/>
      <c r="K17" s="36" t="e">
        <f>I17/SUM($E$11:E17)</f>
        <v>#DIV/0!</v>
      </c>
    </row>
    <row r="18" spans="2:11" x14ac:dyDescent="0.2">
      <c r="B18" s="15"/>
      <c r="C18" s="58"/>
      <c r="D18" s="53"/>
      <c r="E18" s="17"/>
      <c r="F18" s="21"/>
      <c r="G18" s="44">
        <f t="shared" si="0"/>
        <v>0</v>
      </c>
      <c r="H18" s="20"/>
      <c r="I18" s="36">
        <f t="shared" si="1"/>
        <v>919.5</v>
      </c>
      <c r="J18" s="31"/>
      <c r="K18" s="36" t="e">
        <f>I18/SUM($E$11:E18)</f>
        <v>#DIV/0!</v>
      </c>
    </row>
    <row r="19" spans="2:11" x14ac:dyDescent="0.2">
      <c r="B19" s="15"/>
      <c r="C19" s="58"/>
      <c r="D19" s="53"/>
      <c r="E19" s="17"/>
      <c r="F19" s="21"/>
      <c r="G19" s="44">
        <f t="shared" si="0"/>
        <v>0</v>
      </c>
      <c r="H19" s="20"/>
      <c r="I19" s="36">
        <f t="shared" si="1"/>
        <v>919.5</v>
      </c>
      <c r="J19" s="31"/>
      <c r="K19" s="36" t="e">
        <f>I19/SUM($E$11:E19)</f>
        <v>#DIV/0!</v>
      </c>
    </row>
    <row r="20" spans="2:11" x14ac:dyDescent="0.2">
      <c r="B20" s="15"/>
      <c r="C20" s="58"/>
      <c r="D20" s="53"/>
      <c r="E20" s="17"/>
      <c r="F20" s="21"/>
      <c r="G20" s="44">
        <f t="shared" si="0"/>
        <v>0</v>
      </c>
      <c r="H20" s="20"/>
      <c r="I20" s="36">
        <f t="shared" si="1"/>
        <v>919.5</v>
      </c>
      <c r="J20" s="31"/>
      <c r="K20" s="36" t="e">
        <f>I20/SUM($E$11:E20)</f>
        <v>#DIV/0!</v>
      </c>
    </row>
    <row r="21" spans="2:11" x14ac:dyDescent="0.2">
      <c r="B21" s="15"/>
      <c r="C21" s="58"/>
      <c r="D21" s="53"/>
      <c r="E21" s="17"/>
      <c r="F21" s="21"/>
      <c r="G21" s="44">
        <f t="shared" si="0"/>
        <v>0</v>
      </c>
      <c r="H21" s="20"/>
      <c r="I21" s="36">
        <f t="shared" si="1"/>
        <v>919.5</v>
      </c>
      <c r="J21" s="31"/>
      <c r="K21" s="36" t="e">
        <f>I21/SUM($E$11:E21)</f>
        <v>#DIV/0!</v>
      </c>
    </row>
    <row r="22" spans="2:11" x14ac:dyDescent="0.2">
      <c r="B22" s="15"/>
      <c r="C22" s="58"/>
      <c r="D22" s="53"/>
      <c r="E22" s="17"/>
      <c r="F22" s="18"/>
      <c r="G22" s="130">
        <f>SUM(G11:G21)</f>
        <v>919.5</v>
      </c>
      <c r="H22" s="20"/>
      <c r="I22" s="19"/>
      <c r="J22" s="31"/>
      <c r="K22" s="22" t="e">
        <f>SUM(G11:G22)/SUM(E11:E22)</f>
        <v>#DIV/0!</v>
      </c>
    </row>
    <row r="23" spans="2:11" ht="6" customHeight="1" x14ac:dyDescent="0.2">
      <c r="B23" s="15"/>
      <c r="C23" s="58"/>
      <c r="D23" s="53"/>
      <c r="E23" s="17"/>
      <c r="F23" s="18"/>
      <c r="G23" s="19"/>
      <c r="H23" s="20"/>
      <c r="I23" s="20"/>
      <c r="J23" s="31"/>
      <c r="K23" s="17"/>
    </row>
    <row r="24" spans="2:11" ht="6.5" customHeight="1" x14ac:dyDescent="0.2">
      <c r="B24" s="15"/>
      <c r="C24" s="58"/>
      <c r="D24" s="53"/>
      <c r="E24" s="17"/>
      <c r="F24" s="18"/>
      <c r="G24" s="19"/>
      <c r="H24" s="20"/>
      <c r="I24" s="20"/>
      <c r="J24" s="31"/>
      <c r="K24" s="17"/>
    </row>
    <row r="25" spans="2:11" ht="16" x14ac:dyDescent="0.2">
      <c r="B25" s="39" t="s">
        <v>87</v>
      </c>
      <c r="C25" s="58" t="d">
        <v>2024-10-09</v>
      </c>
      <c r="D25" s="53"/>
      <c r="E25" s="17"/>
      <c r="F25" s="21">
        <v>38.299999999999997</v>
      </c>
      <c r="G25" s="36">
        <f>-25*8</f>
        <v>-200</v>
      </c>
      <c r="H25" s="20"/>
      <c r="I25" s="36">
        <f>I13+G25</f>
        <v>8400</v>
      </c>
      <c r="J25" s="31" t="s">
        <v>10</v>
      </c>
      <c r="K25" s="36" t="e">
        <f>I25/SUM($E$11:E25)</f>
        <v>#DIV/0!</v>
      </c>
    </row>
    <row r="26" spans="2:11" ht="16" x14ac:dyDescent="0.2">
      <c r="B26" s="39" t="s">
        <v>88</v>
      </c>
      <c r="C26" s="58" t="d">
        <v>2024-10-09</v>
      </c>
      <c r="D26" s="53"/>
      <c r="E26" s="17"/>
      <c r="F26" s="21"/>
      <c r="G26" s="36">
        <v>-57</v>
      </c>
      <c r="H26" s="17"/>
      <c r="I26" s="36">
        <f>I25+G26</f>
        <v>8343</v>
      </c>
      <c r="J26" s="31" t="s">
        <v>10</v>
      </c>
      <c r="K26" s="36" t="e">
        <f>I26/SUM($E$11:E26)</f>
        <v>#DIV/0!</v>
      </c>
    </row>
    <row r="27" spans="2:11" ht="16" customHeight="1" x14ac:dyDescent="0.2">
      <c r="B27" s="39" t="s">
        <v>104</v>
      </c>
      <c r="C27" s="58" t="d">
        <v>2024-10-22</v>
      </c>
      <c r="D27" s="53"/>
      <c r="E27" s="17"/>
      <c r="F27" s="21"/>
      <c r="G27" s="36">
        <f>-30*3</f>
        <v>-90</v>
      </c>
      <c r="H27" s="17"/>
      <c r="I27" s="36">
        <f t="shared" ref="I27:I42" si="2">I26+G27</f>
        <v>8253</v>
      </c>
      <c r="J27" s="31" t="s">
        <v>122</v>
      </c>
      <c r="K27" s="36" t="e">
        <f>I27/SUM($E$11:E27)</f>
        <v>#DIV/0!</v>
      </c>
    </row>
    <row r="28" spans="2:11" ht="16" customHeight="1" x14ac:dyDescent="0.2">
      <c r="B28" s="39" t="s">
        <v>148</v>
      </c>
      <c r="C28" s="58" t="d">
        <v>2024-11-04</v>
      </c>
      <c r="D28" s="53"/>
      <c r="E28" s="17"/>
      <c r="F28" s="21"/>
      <c r="G28" s="36">
        <f>-104*3</f>
        <v>-312</v>
      </c>
      <c r="H28" s="17"/>
      <c r="I28" s="36">
        <f t="shared" si="2"/>
        <v>7941</v>
      </c>
      <c r="J28" s="31" t="s">
        <v>10</v>
      </c>
      <c r="K28" s="36" t="e">
        <f>I28/SUM($E$11:E28)</f>
        <v>#DIV/0!</v>
      </c>
    </row>
    <row r="29" spans="2:11" ht="16" x14ac:dyDescent="0.2">
      <c r="B29" s="39" t="s">
        <v>149</v>
      </c>
      <c r="C29" s="58" t="d">
        <v>2024-11-18</v>
      </c>
      <c r="D29" s="53"/>
      <c r="E29" s="17"/>
      <c r="F29" s="21"/>
      <c r="G29" s="36">
        <f>-42*3</f>
        <v>-126</v>
      </c>
      <c r="H29" s="17"/>
      <c r="I29" s="36">
        <f t="shared" si="2"/>
        <v>7815</v>
      </c>
      <c r="J29" s="31" t="s">
        <v>122</v>
      </c>
      <c r="K29" s="36" t="e">
        <f>I29/SUM($E$11:E29)</f>
        <v>#DIV/0!</v>
      </c>
    </row>
    <row r="30" spans="2:11" ht="16" x14ac:dyDescent="0.2">
      <c r="B30" s="39" t="s">
        <v>207</v>
      </c>
      <c r="C30" s="58" t="d">
        <v>2024-12-13</v>
      </c>
      <c r="D30" s="53"/>
      <c r="E30" s="17"/>
      <c r="F30" s="21"/>
      <c r="G30" s="36">
        <f>-21*2</f>
        <v>-42</v>
      </c>
      <c r="H30" s="17"/>
      <c r="I30" s="36">
        <f t="shared" si="2"/>
        <v>7773</v>
      </c>
      <c r="J30" s="31" t="s">
        <v>122</v>
      </c>
      <c r="K30" s="36" t="e">
        <f>I30/SUM($E$11:E30)</f>
        <v>#DIV/0!</v>
      </c>
    </row>
    <row r="31" spans="2:11" ht="17" customHeight="1" x14ac:dyDescent="0.2">
      <c r="B31" s="39" t="s">
        <v>218</v>
      </c>
      <c r="C31" s="58" t="d">
        <v>2025-01-06</v>
      </c>
      <c r="D31" s="53"/>
      <c r="E31" s="17"/>
      <c r="F31" s="21">
        <v>35</v>
      </c>
      <c r="G31" s="36">
        <f>-13*2</f>
        <v>-26</v>
      </c>
      <c r="H31" s="17"/>
      <c r="I31" s="36">
        <f t="shared" si="2"/>
        <v>7747</v>
      </c>
      <c r="J31" s="31" t="s">
        <v>10</v>
      </c>
      <c r="K31" s="36" t="e">
        <f>I31/SUM($E$11:E31)</f>
        <v>#DIV/0!</v>
      </c>
    </row>
    <row r="32" spans="2:11" ht="16" x14ac:dyDescent="0.2">
      <c r="B32" s="39" t="s">
        <v>233</v>
      </c>
      <c r="C32" s="58" t="d">
        <v>2025-01-21</v>
      </c>
      <c r="D32" s="53"/>
      <c r="E32" s="17"/>
      <c r="F32" s="21"/>
      <c r="G32" s="36">
        <f>-21*3</f>
        <v>-63</v>
      </c>
      <c r="H32" s="17"/>
      <c r="I32" s="36">
        <f t="shared" si="2"/>
        <v>7684</v>
      </c>
      <c r="J32" s="31" t="s">
        <v>10</v>
      </c>
      <c r="K32" s="36" t="e">
        <f>I32/SUM($E$11:E32)</f>
        <v>#DIV/0!</v>
      </c>
    </row>
    <row r="33" spans="2:11" ht="16" x14ac:dyDescent="0.2">
      <c r="B33" s="39" t="s">
        <v>240</v>
      </c>
      <c r="C33" s="58" t="d">
        <v>2025-01-24</v>
      </c>
      <c r="D33" s="53"/>
      <c r="E33" s="17"/>
      <c r="F33" s="21"/>
      <c r="G33" s="36">
        <f>-68*2</f>
        <v>-136</v>
      </c>
      <c r="H33" s="17"/>
      <c r="I33" s="36">
        <f t="shared" si="2"/>
        <v>7548</v>
      </c>
      <c r="J33" s="31" t="s">
        <v>122</v>
      </c>
      <c r="K33" s="36" t="e">
        <f>I33/SUM($E$11:E33)</f>
        <v>#DIV/0!</v>
      </c>
    </row>
    <row r="34" spans="2:11" ht="16" x14ac:dyDescent="0.2">
      <c r="B34" s="39" t="s">
        <v>401</v>
      </c>
      <c r="C34" s="58" t="d">
        <v>2025-02-19</v>
      </c>
      <c r="D34" s="53"/>
      <c r="E34" s="17"/>
      <c r="F34" s="21"/>
      <c r="G34" s="36">
        <f>-27*5</f>
        <v>-135</v>
      </c>
      <c r="H34" s="17"/>
      <c r="I34" s="36">
        <f t="shared" si="2"/>
        <v>7413</v>
      </c>
      <c r="J34" s="31" t="s">
        <v>10</v>
      </c>
      <c r="K34" s="36" t="e">
        <f>I34/SUM($E$11:E34)</f>
        <v>#DIV/0!</v>
      </c>
    </row>
    <row r="35" spans="2:11" ht="16" x14ac:dyDescent="0.2">
      <c r="B35" s="39" t="s">
        <v>402</v>
      </c>
      <c r="C35" s="58" t="d">
        <v>2025-03-04</v>
      </c>
      <c r="D35" s="53"/>
      <c r="E35" s="17"/>
      <c r="F35" s="21"/>
      <c r="G35" s="36">
        <v>-40</v>
      </c>
      <c r="H35" s="17"/>
      <c r="I35" s="36">
        <f t="shared" si="2"/>
        <v>7373</v>
      </c>
      <c r="J35" s="31" t="s">
        <v>10</v>
      </c>
      <c r="K35" s="36" t="e">
        <f>I35/SUM($E$11:E35)</f>
        <v>#DIV/0!</v>
      </c>
    </row>
    <row r="36" spans="2:11" ht="19" customHeight="1" x14ac:dyDescent="0.2">
      <c r="B36" s="39" t="s">
        <v>403</v>
      </c>
      <c r="C36" s="58" t="d">
        <v>2025-03-24</v>
      </c>
      <c r="D36" s="53"/>
      <c r="E36" s="17"/>
      <c r="F36" s="21"/>
      <c r="G36" s="36">
        <v>-12</v>
      </c>
      <c r="H36" s="17"/>
      <c r="I36" s="36">
        <f t="shared" si="2"/>
        <v>7361</v>
      </c>
      <c r="J36" s="31" t="s">
        <v>10</v>
      </c>
      <c r="K36" s="36" t="e">
        <f>I36/SUM($E$11:E36)</f>
        <v>#DIV/0!</v>
      </c>
    </row>
    <row r="37" spans="2:11" ht="16" x14ac:dyDescent="0.2">
      <c r="B37" s="39" t="s">
        <v>404</v>
      </c>
      <c r="C37" s="58" t="d">
        <v>2025-04-07</v>
      </c>
      <c r="D37" s="53"/>
      <c r="E37" s="17"/>
      <c r="F37" s="21"/>
      <c r="G37" s="36">
        <f>-21*4</f>
        <v>-84</v>
      </c>
      <c r="H37" s="17"/>
      <c r="I37" s="36">
        <f t="shared" si="2"/>
        <v>7277</v>
      </c>
      <c r="J37" s="31" t="s">
        <v>10</v>
      </c>
      <c r="K37" s="36" t="e">
        <f>I37/SUM($E$11:E37)</f>
        <v>#DIV/0!</v>
      </c>
    </row>
    <row r="38" spans="2:11" ht="16" x14ac:dyDescent="0.2">
      <c r="B38" s="39" t="s">
        <v>353</v>
      </c>
      <c r="C38" s="58" t="d">
        <v>2025-04-17</v>
      </c>
      <c r="D38" s="53"/>
      <c r="E38" s="17"/>
      <c r="F38" s="21"/>
      <c r="G38" s="36">
        <f>-24*2</f>
        <v>-48</v>
      </c>
      <c r="H38" s="17"/>
      <c r="I38" s="36">
        <f t="shared" si="2"/>
        <v>7229</v>
      </c>
      <c r="J38" s="31" t="s">
        <v>10</v>
      </c>
      <c r="K38" s="36" t="e">
        <f>I38/SUM($E$11:E38)</f>
        <v>#DIV/0!</v>
      </c>
    </row>
    <row r="39" spans="2:11" ht="16" x14ac:dyDescent="0.2">
      <c r="B39" s="39" t="s">
        <v>405</v>
      </c>
      <c r="C39" s="58" t="d">
        <v>2025-04-21</v>
      </c>
      <c r="D39" s="53"/>
      <c r="E39" s="17"/>
      <c r="F39" s="21"/>
      <c r="G39" s="36">
        <f>-12*3</f>
        <v>-36</v>
      </c>
      <c r="H39" s="17"/>
      <c r="I39" s="36">
        <f t="shared" si="2"/>
        <v>7193</v>
      </c>
      <c r="J39" s="31" t="s">
        <v>10</v>
      </c>
      <c r="K39" s="36" t="e">
        <f>I39/SUM($E$11:E39)</f>
        <v>#DIV/0!</v>
      </c>
    </row>
    <row r="40" spans="2:11" ht="16" x14ac:dyDescent="0.2">
      <c r="B40" s="39" t="s">
        <v>438</v>
      </c>
      <c r="C40" s="58" t="d">
        <v>2025-04-29</v>
      </c>
      <c r="D40" s="53"/>
      <c r="E40" s="17"/>
      <c r="F40" s="21"/>
      <c r="G40" s="36">
        <f>-30*5</f>
        <v>-150</v>
      </c>
      <c r="H40" s="17"/>
      <c r="I40" s="36">
        <f t="shared" si="2"/>
        <v>7043</v>
      </c>
      <c r="J40" s="31" t="s">
        <v>10</v>
      </c>
      <c r="K40" s="36" t="e">
        <f>I40/SUM($E$11:E40)</f>
        <v>#DIV/0!</v>
      </c>
    </row>
    <row r="41" spans="2:11" ht="32" x14ac:dyDescent="0.2">
      <c r="B41" s="39" t="s">
        <v>439</v>
      </c>
      <c r="C41" s="58" t="d">
        <v>2025-05-02</v>
      </c>
      <c r="D41" s="53"/>
      <c r="E41" s="17"/>
      <c r="F41" s="21"/>
      <c r="G41" s="36">
        <f>-16*5</f>
        <v>-80</v>
      </c>
      <c r="H41" s="17"/>
      <c r="I41" s="36">
        <f t="shared" si="2"/>
        <v>6963</v>
      </c>
      <c r="J41" s="31" t="s">
        <v>10</v>
      </c>
      <c r="K41" s="36" t="e">
        <f>I41/SUM($E$11:E41)</f>
        <v>#DIV/0!</v>
      </c>
    </row>
    <row r="42" spans="2:11" ht="16" x14ac:dyDescent="0.2">
      <c r="B42" s="39" t="s">
        <v>440</v>
      </c>
      <c r="C42" s="58" t="d">
        <v>2025-05-13</v>
      </c>
      <c r="D42" s="53"/>
      <c r="E42" s="17"/>
      <c r="F42" s="21"/>
      <c r="G42" s="36">
        <v>-50</v>
      </c>
      <c r="H42" s="17"/>
      <c r="I42" s="36">
        <f t="shared" si="2"/>
        <v>6913</v>
      </c>
      <c r="J42" s="31" t="s">
        <v>10</v>
      </c>
      <c r="K42" s="36" t="e">
        <f>I42/SUM($E$11:E42)</f>
        <v>#DIV/0!</v>
      </c>
    </row>
    <row r="43" spans="2:11" ht="16" x14ac:dyDescent="0.2">
      <c r="B43" s="39" t="s">
        <v>603</v>
      </c>
      <c r="C43" s="58" t="d">
        <v>2025-06-06</v>
      </c>
      <c r="D43" s="53"/>
      <c r="E43" s="17"/>
      <c r="F43" s="21"/>
      <c r="G43" s="36">
        <f>-5*20</f>
        <v>-100</v>
      </c>
      <c r="H43" s="20"/>
      <c r="I43" s="36">
        <f>I32+G43</f>
        <v>7584</v>
      </c>
      <c r="J43" s="31" t="s">
        <v>10</v>
      </c>
      <c r="K43" s="36" t="e">
        <f>I43/SUM($E$11:E43)</f>
        <v>#DIV/0!</v>
      </c>
    </row>
    <row r="44" spans="2:11" ht="16" x14ac:dyDescent="0.2">
      <c r="B44" s="39" t="s">
        <v>604</v>
      </c>
      <c r="C44" s="58" t="d">
        <v>2025-06-10</v>
      </c>
      <c r="D44" s="53"/>
      <c r="E44" s="17"/>
      <c r="F44" s="21"/>
      <c r="G44" s="36">
        <f>-3*12</f>
        <v>-36</v>
      </c>
      <c r="H44" s="20"/>
      <c r="I44" s="36">
        <f t="shared" ref="I44:I64" si="3">I33+G44</f>
        <v>7512</v>
      </c>
      <c r="J44" s="31" t="s">
        <v>10</v>
      </c>
      <c r="K44" s="36" t="e">
        <f>I44/SUM($E$11:E44)</f>
        <v>#DIV/0!</v>
      </c>
    </row>
    <row r="45" spans="2:11" ht="16" x14ac:dyDescent="0.2">
      <c r="B45" s="39" t="s">
        <v>605</v>
      </c>
      <c r="C45" s="58" t="d">
        <v>2025-07-02</v>
      </c>
      <c r="D45" s="53"/>
      <c r="E45" s="17"/>
      <c r="F45" s="21"/>
      <c r="G45" s="36">
        <f>-2*6</f>
        <v>-12</v>
      </c>
      <c r="H45" s="20"/>
      <c r="I45" s="36">
        <f t="shared" si="3"/>
        <v>7401</v>
      </c>
      <c r="J45" s="31" t="s">
        <v>10</v>
      </c>
      <c r="K45" s="36" t="e">
        <f>I45/SUM($E$11:E45)</f>
        <v>#DIV/0!</v>
      </c>
    </row>
    <row r="46" spans="2:11" ht="16" x14ac:dyDescent="0.2">
      <c r="B46" s="39" t="s">
        <v>606</v>
      </c>
      <c r="C46" s="58" t="d">
        <v>2025-07-08</v>
      </c>
      <c r="D46" s="53"/>
      <c r="E46" s="17"/>
      <c r="F46" s="21"/>
      <c r="G46" s="36">
        <f>-4*35</f>
        <v>-140</v>
      </c>
      <c r="H46" s="20"/>
      <c r="I46" s="36">
        <f t="shared" si="3"/>
        <v>7233</v>
      </c>
      <c r="J46" s="31" t="s">
        <v>10</v>
      </c>
      <c r="K46" s="36" t="e">
        <f>I46/SUM($E$11:E46)</f>
        <v>#DIV/0!</v>
      </c>
    </row>
    <row r="47" spans="2:11" ht="16" x14ac:dyDescent="0.2">
      <c r="B47" s="39" t="s">
        <v>607</v>
      </c>
      <c r="C47" s="58" t="d">
        <v>2025-09-25</v>
      </c>
      <c r="D47" s="53"/>
      <c r="E47" s="17"/>
      <c r="F47" s="21"/>
      <c r="G47" s="36">
        <f>-4*39</f>
        <v>-156</v>
      </c>
      <c r="H47" s="20"/>
      <c r="I47" s="36">
        <f t="shared" si="3"/>
        <v>7205</v>
      </c>
      <c r="J47" s="31" t="s">
        <v>10</v>
      </c>
      <c r="K47" s="36" t="e">
        <f>I47/SUM($E$11:E47)</f>
        <v>#DIV/0!</v>
      </c>
    </row>
    <row r="48" spans="2:11" ht="16" x14ac:dyDescent="0.2">
      <c r="B48" s="39" t="s">
        <v>608</v>
      </c>
      <c r="C48" s="58" t="d">
        <v>2025-10-01</v>
      </c>
      <c r="D48" s="53"/>
      <c r="E48" s="17"/>
      <c r="F48" s="21"/>
      <c r="G48" s="36">
        <v>2</v>
      </c>
      <c r="H48" s="20"/>
      <c r="I48" s="36">
        <f t="shared" si="3"/>
        <v>7279</v>
      </c>
      <c r="J48" s="31" t="s">
        <v>10</v>
      </c>
      <c r="K48" s="36" t="e">
        <f>I48/SUM($E$11:E48)</f>
        <v>#DIV/0!</v>
      </c>
    </row>
    <row r="49" spans="2:11" ht="16" x14ac:dyDescent="0.2">
      <c r="B49" s="39" t="s">
        <v>609</v>
      </c>
      <c r="C49" s="58" t="d">
        <v>2025-10-01</v>
      </c>
      <c r="D49" s="53"/>
      <c r="E49" s="17"/>
      <c r="F49" s="21"/>
      <c r="G49" s="36">
        <f>-2*65</f>
        <v>-130</v>
      </c>
      <c r="H49" s="20"/>
      <c r="I49" s="36">
        <f t="shared" si="3"/>
        <v>7099</v>
      </c>
      <c r="J49" s="31" t="s">
        <v>281</v>
      </c>
      <c r="K49" s="36" t="e">
        <f>I49/SUM($E$11:E49)</f>
        <v>#DIV/0!</v>
      </c>
    </row>
    <row r="50" spans="2:11" ht="16" x14ac:dyDescent="0.2">
      <c r="B50" s="39" t="s">
        <v>610</v>
      </c>
      <c r="C50" s="58" t="d">
        <v>2025-10-01</v>
      </c>
      <c r="D50" s="53"/>
      <c r="E50" s="17"/>
      <c r="F50" s="21"/>
      <c r="G50" s="36">
        <f>-2*36</f>
        <v>-72</v>
      </c>
      <c r="H50" s="20"/>
      <c r="I50" s="36">
        <f t="shared" si="3"/>
        <v>7121</v>
      </c>
      <c r="J50" s="31" t="s">
        <v>281</v>
      </c>
      <c r="K50" s="36" t="e">
        <f>I50/SUM($E$11:E50)</f>
        <v>#DIV/0!</v>
      </c>
    </row>
    <row r="51" spans="2:11" ht="32" x14ac:dyDescent="0.2">
      <c r="B51" s="39" t="s">
        <v>619</v>
      </c>
      <c r="C51" s="58" t="d">
        <v>2025-10-09</v>
      </c>
      <c r="D51" s="53"/>
      <c r="E51" s="17"/>
      <c r="F51" s="21"/>
      <c r="G51" s="36">
        <f>-22*2</f>
        <v>-44</v>
      </c>
      <c r="H51" s="20"/>
      <c r="I51" s="36">
        <f t="shared" si="3"/>
        <v>6999</v>
      </c>
      <c r="J51" s="31"/>
      <c r="K51" s="36" t="e">
        <f>I51/SUM($E$11:E51)</f>
        <v>#DIV/0!</v>
      </c>
    </row>
    <row r="52" spans="2:11" ht="32" x14ac:dyDescent="0.2">
      <c r="B52" s="39" t="s">
        <v>620</v>
      </c>
      <c r="C52" s="58" t="d">
        <v>2025-10-09</v>
      </c>
      <c r="D52" s="53"/>
      <c r="E52" s="17"/>
      <c r="F52" s="21"/>
      <c r="G52" s="36">
        <f>-27*2</f>
        <v>-54</v>
      </c>
      <c r="H52" s="20"/>
      <c r="I52" s="36">
        <f t="shared" si="3"/>
        <v>6909</v>
      </c>
      <c r="J52" s="31"/>
      <c r="K52" s="36" t="e">
        <f>I52/SUM($E$11:E52)</f>
        <v>#DIV/0!</v>
      </c>
    </row>
    <row r="53" spans="2:11" x14ac:dyDescent="0.2">
      <c r="B53" s="39"/>
      <c r="C53" s="58"/>
      <c r="D53" s="53"/>
      <c r="E53" s="17"/>
      <c r="F53" s="21"/>
      <c r="G53" s="36">
        <v>0</v>
      </c>
      <c r="H53" s="20"/>
      <c r="I53" s="36">
        <f t="shared" si="3"/>
        <v>6913</v>
      </c>
      <c r="J53" s="31"/>
      <c r="K53" s="36" t="e">
        <f>I53/SUM($E$11:E53)</f>
        <v>#DIV/0!</v>
      </c>
    </row>
    <row r="54" spans="2:11" x14ac:dyDescent="0.2">
      <c r="B54" s="39"/>
      <c r="C54" s="58"/>
      <c r="D54" s="53"/>
      <c r="E54" s="17"/>
      <c r="F54" s="21"/>
      <c r="G54" s="36">
        <v>0</v>
      </c>
      <c r="H54" s="20"/>
      <c r="I54" s="36">
        <f t="shared" si="3"/>
        <v>7584</v>
      </c>
      <c r="J54" s="31"/>
      <c r="K54" s="36" t="e">
        <f>I54/SUM($E$11:E54)</f>
        <v>#DIV/0!</v>
      </c>
    </row>
    <row r="55" spans="2:11" x14ac:dyDescent="0.2">
      <c r="B55" s="39"/>
      <c r="C55" s="58"/>
      <c r="D55" s="53"/>
      <c r="E55" s="17"/>
      <c r="F55" s="21"/>
      <c r="G55" s="36">
        <v>0</v>
      </c>
      <c r="H55" s="20"/>
      <c r="I55" s="36">
        <f t="shared" si="3"/>
        <v>7512</v>
      </c>
      <c r="J55" s="31"/>
      <c r="K55" s="36" t="e">
        <f>I55/SUM($E$11:E55)</f>
        <v>#DIV/0!</v>
      </c>
    </row>
    <row r="56" spans="2:11" x14ac:dyDescent="0.2">
      <c r="B56" s="39"/>
      <c r="C56" s="58"/>
      <c r="D56" s="53"/>
      <c r="E56" s="17"/>
      <c r="F56" s="21"/>
      <c r="G56" s="36">
        <v>0</v>
      </c>
      <c r="H56" s="20"/>
      <c r="I56" s="36">
        <f t="shared" si="3"/>
        <v>7401</v>
      </c>
      <c r="J56" s="31"/>
      <c r="K56" s="36" t="e">
        <f>I56/SUM($E$11:E56)</f>
        <v>#DIV/0!</v>
      </c>
    </row>
    <row r="57" spans="2:11" x14ac:dyDescent="0.2">
      <c r="B57" s="39"/>
      <c r="C57" s="58"/>
      <c r="D57" s="53"/>
      <c r="E57" s="17"/>
      <c r="F57" s="21"/>
      <c r="G57" s="36">
        <v>0</v>
      </c>
      <c r="H57" s="20"/>
      <c r="I57" s="36">
        <f t="shared" si="3"/>
        <v>7233</v>
      </c>
      <c r="J57" s="31"/>
      <c r="K57" s="36" t="e">
        <f>I57/SUM($E$11:E57)</f>
        <v>#DIV/0!</v>
      </c>
    </row>
    <row r="58" spans="2:11" x14ac:dyDescent="0.2">
      <c r="B58" s="39"/>
      <c r="C58" s="58"/>
      <c r="D58" s="53"/>
      <c r="E58" s="17"/>
      <c r="F58" s="21"/>
      <c r="G58" s="36">
        <v>0</v>
      </c>
      <c r="H58" s="20"/>
      <c r="I58" s="36">
        <f t="shared" si="3"/>
        <v>7205</v>
      </c>
      <c r="J58" s="31"/>
      <c r="K58" s="36" t="e">
        <f>I58/SUM($E$11:E58)</f>
        <v>#DIV/0!</v>
      </c>
    </row>
    <row r="59" spans="2:11" x14ac:dyDescent="0.2">
      <c r="B59" s="39"/>
      <c r="C59" s="58"/>
      <c r="D59" s="53"/>
      <c r="E59" s="17"/>
      <c r="F59" s="21"/>
      <c r="G59" s="36">
        <v>0</v>
      </c>
      <c r="H59" s="20"/>
      <c r="I59" s="36">
        <f t="shared" si="3"/>
        <v>7279</v>
      </c>
      <c r="J59" s="31"/>
      <c r="K59" s="36" t="e">
        <f>I59/SUM($E$11:E59)</f>
        <v>#DIV/0!</v>
      </c>
    </row>
    <row r="60" spans="2:11" x14ac:dyDescent="0.2">
      <c r="B60" s="39"/>
      <c r="C60" s="58"/>
      <c r="D60" s="53"/>
      <c r="E60" s="17"/>
      <c r="F60" s="21"/>
      <c r="G60" s="36">
        <v>0</v>
      </c>
      <c r="H60" s="20"/>
      <c r="I60" s="36">
        <f t="shared" si="3"/>
        <v>7099</v>
      </c>
      <c r="J60" s="31"/>
      <c r="K60" s="36" t="e">
        <f>I60/SUM($E$11:E60)</f>
        <v>#DIV/0!</v>
      </c>
    </row>
    <row r="61" spans="2:11" x14ac:dyDescent="0.2">
      <c r="B61" s="39"/>
      <c r="C61" s="58"/>
      <c r="D61" s="53"/>
      <c r="E61" s="17"/>
      <c r="F61" s="21"/>
      <c r="G61" s="36">
        <v>0</v>
      </c>
      <c r="H61" s="20"/>
      <c r="I61" s="36">
        <f t="shared" si="3"/>
        <v>7121</v>
      </c>
      <c r="J61" s="31"/>
      <c r="K61" s="36" t="e">
        <f>I61/SUM($E$11:E61)</f>
        <v>#DIV/0!</v>
      </c>
    </row>
    <row r="62" spans="2:11" x14ac:dyDescent="0.2">
      <c r="B62" s="39"/>
      <c r="C62" s="58"/>
      <c r="D62" s="53"/>
      <c r="E62" s="17"/>
      <c r="F62" s="21"/>
      <c r="G62" s="36">
        <v>0</v>
      </c>
      <c r="H62" s="20"/>
      <c r="I62" s="36">
        <f t="shared" si="3"/>
        <v>6999</v>
      </c>
      <c r="J62" s="31"/>
      <c r="K62" s="36" t="e">
        <f>I62/SUM($E$11:E62)</f>
        <v>#DIV/0!</v>
      </c>
    </row>
    <row r="63" spans="2:11" x14ac:dyDescent="0.2">
      <c r="B63" s="39"/>
      <c r="C63" s="58"/>
      <c r="D63" s="53"/>
      <c r="E63" s="17"/>
      <c r="F63" s="21"/>
      <c r="G63" s="36">
        <v>0</v>
      </c>
      <c r="H63" s="20"/>
      <c r="I63" s="36">
        <f t="shared" si="3"/>
        <v>6909</v>
      </c>
      <c r="J63" s="31"/>
      <c r="K63" s="36" t="e">
        <f>I63/SUM($E$11:E63)</f>
        <v>#DIV/0!</v>
      </c>
    </row>
    <row r="64" spans="2:11" x14ac:dyDescent="0.2">
      <c r="B64" s="39"/>
      <c r="C64" s="58"/>
      <c r="D64" s="53"/>
      <c r="E64" s="17"/>
      <c r="F64" s="21"/>
      <c r="G64" s="36">
        <v>0</v>
      </c>
      <c r="H64" s="20"/>
      <c r="I64" s="36">
        <f t="shared" si="3"/>
        <v>6913</v>
      </c>
      <c r="J64" s="31"/>
      <c r="K64" s="36" t="e">
        <f>I64/SUM($E$11:E64)</f>
        <v>#DIV/0!</v>
      </c>
    </row>
    <row r="65" spans="2:11" x14ac:dyDescent="0.2">
      <c r="B65" s="39"/>
      <c r="C65" s="58"/>
      <c r="D65" s="53"/>
      <c r="E65" s="17"/>
      <c r="F65" s="21"/>
      <c r="G65" s="36">
        <v>0</v>
      </c>
      <c r="H65" s="20"/>
      <c r="I65" s="36">
        <f>I33+G65</f>
        <v>7548</v>
      </c>
      <c r="J65" s="31"/>
      <c r="K65" s="36" t="e">
        <f>I65/SUM($E$11:E65)</f>
        <v>#DIV/0!</v>
      </c>
    </row>
    <row r="66" spans="2:11" x14ac:dyDescent="0.2">
      <c r="B66" s="39"/>
      <c r="C66" s="58"/>
      <c r="D66" s="53"/>
      <c r="E66" s="17"/>
      <c r="F66" s="21"/>
      <c r="G66" s="36">
        <v>0</v>
      </c>
      <c r="H66" s="20"/>
      <c r="I66" s="36">
        <f>I34+G66</f>
        <v>7413</v>
      </c>
      <c r="J66" s="31"/>
      <c r="K66" s="36" t="e">
        <f>I66/SUM($E$11:E66)</f>
        <v>#DIV/0!</v>
      </c>
    </row>
    <row r="67" spans="2:11" x14ac:dyDescent="0.2">
      <c r="B67" s="39"/>
      <c r="C67" s="58"/>
      <c r="D67" s="53"/>
      <c r="E67" s="17"/>
      <c r="F67" s="21"/>
      <c r="G67" s="36">
        <v>0</v>
      </c>
      <c r="H67" s="20"/>
      <c r="I67" s="36">
        <f>I35+G67</f>
        <v>7373</v>
      </c>
      <c r="J67" s="31"/>
      <c r="K67" s="36" t="e">
        <f>I67/SUM($E$11:E67)</f>
        <v>#DIV/0!</v>
      </c>
    </row>
    <row r="68" spans="2:11" x14ac:dyDescent="0.2">
      <c r="B68" s="39"/>
      <c r="C68" s="58"/>
      <c r="D68" s="53"/>
      <c r="E68" s="17"/>
      <c r="F68" s="21"/>
      <c r="G68" s="36">
        <v>0</v>
      </c>
      <c r="H68" s="20"/>
      <c r="I68" s="36">
        <f>I36+G68</f>
        <v>7361</v>
      </c>
      <c r="J68" s="31"/>
      <c r="K68" s="22">
        <f>I68/3400</f>
        <v>2.165</v>
      </c>
    </row>
    <row r="69" spans="2:11" ht="4.75" customHeight="1" x14ac:dyDescent="0.2">
      <c r="B69" s="15"/>
      <c r="C69" s="17"/>
      <c r="D69" s="17"/>
      <c r="E69" s="17"/>
      <c r="F69" s="18"/>
      <c r="G69" s="19"/>
      <c r="H69" s="20"/>
      <c r="I69" s="20"/>
      <c r="J69" s="31"/>
      <c r="K69" s="17"/>
    </row>
    <row r="70" spans="2:11" ht="23" customHeight="1" x14ac:dyDescent="0.25">
      <c r="B70" s="15"/>
      <c r="C70" s="17"/>
      <c r="D70" s="17"/>
      <c r="E70" s="23">
        <f>SUM(E11:E68)</f>
        <v>0</v>
      </c>
      <c r="F70" s="24"/>
      <c r="G70" s="25">
        <f>SUM(G11:G68)</f>
        <v>-590</v>
      </c>
      <c r="H70" s="20"/>
      <c r="I70" s="20"/>
      <c r="J70" s="31"/>
      <c r="K70" s="17"/>
    </row>
  </sheetData>
  <mergeCells count="1">
    <mergeCell ref="B8:G8"/>
  </mergeCells>
  <conditionalFormatting sqref="B25:B40 B42:B50 B53:B68">
    <cfRule type="expression" dxfId="370" priority="11" stopIfTrue="1">
      <formula>J25="ROLL"</formula>
    </cfRule>
    <cfRule type="expression" dxfId="369" priority="12" stopIfTrue="1">
      <formula>AND(ISNUMBER(SEARCH("call", B25)), J25="expired")</formula>
    </cfRule>
    <cfRule type="expression" dxfId="368" priority="13" stopIfTrue="1">
      <formula>AND(ISNUMBER(SEARCH("call", B25)), J25="assigned")</formula>
    </cfRule>
    <cfRule type="expression" dxfId="367" priority="14" stopIfTrue="1">
      <formula>J25="assigned"</formula>
    </cfRule>
    <cfRule type="expression" dxfId="366" priority="15">
      <formula>J25="expired"</formula>
    </cfRule>
  </conditionalFormatting>
  <conditionalFormatting sqref="B41">
    <cfRule type="expression" dxfId="365" priority="6" stopIfTrue="1">
      <formula>J41="ROLL"</formula>
    </cfRule>
    <cfRule type="expression" dxfId="364" priority="7" stopIfTrue="1">
      <formula>AND(ISNUMBER(SEARCH("call", B41)), J41="expired")</formula>
    </cfRule>
    <cfRule type="expression" dxfId="363" priority="8" stopIfTrue="1">
      <formula>AND(ISNUMBER(SEARCH("call", B41)), J41="assigned")</formula>
    </cfRule>
    <cfRule type="expression" dxfId="362" priority="9" stopIfTrue="1">
      <formula>J41="assigned"</formula>
    </cfRule>
    <cfRule type="expression" dxfId="361" priority="10">
      <formula>J41="expired"</formula>
    </cfRule>
  </conditionalFormatting>
  <conditionalFormatting sqref="B51:B52">
    <cfRule type="expression" dxfId="360" priority="1" stopIfTrue="1">
      <formula>J51="ROLL"</formula>
    </cfRule>
    <cfRule type="expression" dxfId="359" priority="2" stopIfTrue="1">
      <formula>AND(ISNUMBER(SEARCH("call", B51)), J51="expired")</formula>
    </cfRule>
    <cfRule type="expression" dxfId="358" priority="3" stopIfTrue="1">
      <formula>AND(ISNUMBER(SEARCH("call", B51)), J51="assigned")</formula>
    </cfRule>
    <cfRule type="expression" dxfId="357" priority="4" stopIfTrue="1">
      <formula>J51="assigned"</formula>
    </cfRule>
    <cfRule type="expression" dxfId="356" priority="5">
      <formula>J51="expired"</formula>
    </cfRule>
  </conditionalFormatting>
  <pageMargins left="0.7" right="0.7" top="0.75" bottom="0.75" header="0.3" footer="0.3"/>
  <pageSetup paperSize="0" orientation="portrait" r:id="rId1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DF3B-4539-EE43-AE8E-6298C41B6EF3}">
  <sheetPr codeName="Sheet40"/>
  <dimension ref="B1:N79"/>
  <sheetViews>
    <sheetView topLeftCell="A2" zoomScale="120" zoomScaleNormal="120" workbookViewId="0">
      <selection activeCell="B18" sqref="B18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197</v>
      </c>
      <c r="C1" s="197"/>
    </row>
    <row r="2" spans="2:14" x14ac:dyDescent="0.2">
      <c r="B2" s="1"/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10.850400000000002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100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 t="s">
        <v>537</v>
      </c>
      <c r="C11" s="58" t="d">
        <v>2025-07-19</v>
      </c>
      <c r="D11" s="53"/>
      <c r="E11" s="17">
        <v>100</v>
      </c>
      <c r="F11" s="21">
        <v>15</v>
      </c>
      <c r="G11" s="127">
        <f>E11*F11</f>
        <v>1500</v>
      </c>
      <c r="H11" s="20"/>
      <c r="I11" s="36">
        <f>G11</f>
        <v>1500</v>
      </c>
      <c r="J11" s="31"/>
      <c r="K11" s="36">
        <f>I11/E11</f>
        <v>15</v>
      </c>
    </row>
    <row r="12" spans="2:14" x14ac:dyDescent="0.2">
      <c r="B12" s="15" t="s">
        <v>24</v>
      </c>
      <c r="C12" s="58" t="d">
        <v>2025-08-15</v>
      </c>
      <c r="D12" s="53"/>
      <c r="E12" s="17"/>
      <c r="F12" s="21"/>
      <c r="G12" s="127">
        <v>-60.98</v>
      </c>
      <c r="H12" s="20"/>
      <c r="I12" s="36">
        <f>I11+G12</f>
        <v>1439.02</v>
      </c>
      <c r="J12" s="31"/>
      <c r="K12" s="36">
        <f>I12/SUM($E$11:E12)</f>
        <v>14.3902</v>
      </c>
    </row>
    <row r="13" spans="2:14" x14ac:dyDescent="0.2">
      <c r="B13" s="15" t="s">
        <v>24</v>
      </c>
      <c r="C13" s="58" t="d">
        <v>2025-09-12</v>
      </c>
      <c r="D13" s="53"/>
      <c r="E13" s="17"/>
      <c r="F13" s="21"/>
      <c r="G13" s="127">
        <v>-64.790000000000006</v>
      </c>
      <c r="H13" s="20"/>
      <c r="I13" s="36">
        <f>I12+G13</f>
        <v>1374.23</v>
      </c>
      <c r="J13" s="31"/>
      <c r="K13" s="36">
        <f>I13/SUM($E$11:E13)</f>
        <v>13.7423</v>
      </c>
    </row>
    <row r="14" spans="2:14" x14ac:dyDescent="0.2">
      <c r="B14" s="15" t="s">
        <v>24</v>
      </c>
      <c r="C14" s="58" t="d">
        <v>2025-10-10</v>
      </c>
      <c r="D14" s="53"/>
      <c r="E14" s="17"/>
      <c r="F14" s="21"/>
      <c r="G14" s="127">
        <v>-100.3</v>
      </c>
      <c r="H14" s="20"/>
      <c r="I14" s="36">
        <f t="shared" ref="I14:I37" si="0">I13+G14</f>
        <v>1273.93</v>
      </c>
      <c r="J14" s="31"/>
      <c r="K14" s="36">
        <f>I14/SUM($E$11:E14)</f>
        <v>12.7393</v>
      </c>
    </row>
    <row r="15" spans="2:14" x14ac:dyDescent="0.2">
      <c r="B15" s="15" t="s">
        <v>24</v>
      </c>
      <c r="C15" s="58" t="d">
        <v>2025-10-17</v>
      </c>
      <c r="D15" s="53"/>
      <c r="E15" s="17"/>
      <c r="F15" s="21"/>
      <c r="G15" s="127">
        <v>-11.34</v>
      </c>
      <c r="H15" s="20"/>
      <c r="I15" s="36">
        <f t="shared" si="0"/>
        <v>1262.5900000000001</v>
      </c>
      <c r="J15" s="31"/>
      <c r="K15" s="36">
        <f>I15/SUM($E$11:E15)</f>
        <v>12.625900000000001</v>
      </c>
    </row>
    <row r="16" spans="2:14" x14ac:dyDescent="0.2">
      <c r="B16" s="15" t="s">
        <v>24</v>
      </c>
      <c r="C16" s="58" t="d">
        <v>2025-10-24</v>
      </c>
      <c r="D16" s="53"/>
      <c r="E16" s="17"/>
      <c r="F16" s="21"/>
      <c r="G16" s="127">
        <v>-14.47</v>
      </c>
      <c r="H16" s="20"/>
      <c r="I16" s="36">
        <f t="shared" si="0"/>
        <v>1248.1200000000001</v>
      </c>
      <c r="J16" s="31"/>
      <c r="K16" s="36">
        <f>I16/SUM($E$11:E16)</f>
        <v>12.481200000000001</v>
      </c>
    </row>
    <row r="17" spans="2:11" x14ac:dyDescent="0.2">
      <c r="B17" s="15" t="s">
        <v>24</v>
      </c>
      <c r="C17" s="58" t="d">
        <v>2025-10-31</v>
      </c>
      <c r="D17" s="16"/>
      <c r="E17" s="157"/>
      <c r="F17" s="21"/>
      <c r="G17" s="127">
        <v>-14.08</v>
      </c>
      <c r="H17" s="20"/>
      <c r="I17" s="36">
        <f t="shared" si="0"/>
        <v>1234.0400000000002</v>
      </c>
      <c r="J17" s="31"/>
      <c r="K17" s="36">
        <f>I17/SUM($E$11:E17)</f>
        <v>12.340400000000002</v>
      </c>
    </row>
    <row r="18" spans="2:11" x14ac:dyDescent="0.2">
      <c r="B18" s="15"/>
      <c r="C18" s="58"/>
      <c r="D18" s="16"/>
      <c r="E18" s="157"/>
      <c r="F18" s="21"/>
      <c r="G18" s="127">
        <f t="shared" ref="G18:G37" si="1">E18*F18</f>
        <v>0</v>
      </c>
      <c r="H18" s="20"/>
      <c r="I18" s="36">
        <f t="shared" si="0"/>
        <v>1234.0400000000002</v>
      </c>
      <c r="J18" s="31"/>
      <c r="K18" s="36">
        <f>I18/SUM($E$11:E18)</f>
        <v>12.340400000000002</v>
      </c>
    </row>
    <row r="19" spans="2:11" x14ac:dyDescent="0.2">
      <c r="B19" s="15"/>
      <c r="C19" s="58"/>
      <c r="D19" s="16"/>
      <c r="E19" s="157"/>
      <c r="F19" s="21"/>
      <c r="G19" s="127">
        <f t="shared" si="1"/>
        <v>0</v>
      </c>
      <c r="H19" s="20"/>
      <c r="I19" s="36">
        <f t="shared" si="0"/>
        <v>1234.0400000000002</v>
      </c>
      <c r="J19" s="31"/>
      <c r="K19" s="36">
        <f>I19/SUM($E$11:E19)</f>
        <v>12.340400000000002</v>
      </c>
    </row>
    <row r="20" spans="2:11" x14ac:dyDescent="0.2">
      <c r="B20" s="15"/>
      <c r="C20" s="58"/>
      <c r="D20" s="16"/>
      <c r="E20" s="157"/>
      <c r="F20" s="21"/>
      <c r="G20" s="127">
        <f t="shared" si="1"/>
        <v>0</v>
      </c>
      <c r="H20" s="20"/>
      <c r="I20" s="36">
        <f t="shared" si="0"/>
        <v>1234.0400000000002</v>
      </c>
      <c r="J20" s="31"/>
      <c r="K20" s="36">
        <f>I20/SUM($E$11:E20)</f>
        <v>12.340400000000002</v>
      </c>
    </row>
    <row r="21" spans="2:11" x14ac:dyDescent="0.2">
      <c r="B21" s="15"/>
      <c r="C21" s="58"/>
      <c r="D21" s="16"/>
      <c r="E21" s="157"/>
      <c r="F21" s="21"/>
      <c r="G21" s="127">
        <f t="shared" si="1"/>
        <v>0</v>
      </c>
      <c r="H21" s="20"/>
      <c r="I21" s="36">
        <f t="shared" si="0"/>
        <v>1234.0400000000002</v>
      </c>
      <c r="J21" s="31"/>
      <c r="K21" s="36">
        <f>I21/SUM($E$11:E21)</f>
        <v>12.340400000000002</v>
      </c>
    </row>
    <row r="22" spans="2:11" x14ac:dyDescent="0.2">
      <c r="B22" s="15"/>
      <c r="C22" s="58"/>
      <c r="D22" s="16"/>
      <c r="E22" s="157"/>
      <c r="F22" s="21"/>
      <c r="G22" s="127">
        <f t="shared" si="1"/>
        <v>0</v>
      </c>
      <c r="H22" s="20"/>
      <c r="I22" s="36">
        <f t="shared" si="0"/>
        <v>1234.0400000000002</v>
      </c>
      <c r="J22" s="31"/>
      <c r="K22" s="36">
        <f>I22/SUM($E$11:E22)</f>
        <v>12.340400000000002</v>
      </c>
    </row>
    <row r="23" spans="2:11" x14ac:dyDescent="0.2">
      <c r="B23" s="15"/>
      <c r="C23" s="58"/>
      <c r="D23" s="16"/>
      <c r="E23" s="157"/>
      <c r="F23" s="21"/>
      <c r="G23" s="127">
        <f t="shared" si="1"/>
        <v>0</v>
      </c>
      <c r="H23" s="20"/>
      <c r="I23" s="36">
        <f t="shared" si="0"/>
        <v>1234.0400000000002</v>
      </c>
      <c r="J23" s="31"/>
      <c r="K23" s="36">
        <f>I23/SUM($E$11:E23)</f>
        <v>12.340400000000002</v>
      </c>
    </row>
    <row r="24" spans="2:11" x14ac:dyDescent="0.2">
      <c r="B24" s="15"/>
      <c r="C24" s="58"/>
      <c r="D24" s="16"/>
      <c r="E24" s="157"/>
      <c r="F24" s="21"/>
      <c r="G24" s="127">
        <f t="shared" si="1"/>
        <v>0</v>
      </c>
      <c r="H24" s="20"/>
      <c r="I24" s="36">
        <f t="shared" si="0"/>
        <v>1234.0400000000002</v>
      </c>
      <c r="J24" s="31"/>
      <c r="K24" s="36">
        <f>I24/SUM($E$11:E24)</f>
        <v>12.340400000000002</v>
      </c>
    </row>
    <row r="25" spans="2:11" x14ac:dyDescent="0.2">
      <c r="B25" s="15"/>
      <c r="C25" s="58"/>
      <c r="D25" s="16"/>
      <c r="E25" s="157"/>
      <c r="F25" s="21"/>
      <c r="G25" s="127">
        <f t="shared" si="1"/>
        <v>0</v>
      </c>
      <c r="H25" s="20"/>
      <c r="I25" s="36">
        <f t="shared" si="0"/>
        <v>1234.0400000000002</v>
      </c>
      <c r="J25" s="31"/>
      <c r="K25" s="36">
        <f>I25/SUM($E$11:E25)</f>
        <v>12.340400000000002</v>
      </c>
    </row>
    <row r="26" spans="2:11" x14ac:dyDescent="0.2">
      <c r="B26" s="15"/>
      <c r="C26" s="58"/>
      <c r="D26" s="16"/>
      <c r="E26" s="157"/>
      <c r="F26" s="21"/>
      <c r="G26" s="127">
        <f t="shared" si="1"/>
        <v>0</v>
      </c>
      <c r="H26" s="20"/>
      <c r="I26" s="36">
        <f t="shared" si="0"/>
        <v>1234.0400000000002</v>
      </c>
      <c r="J26" s="31"/>
      <c r="K26" s="36">
        <f>I26/SUM($E$11:E26)</f>
        <v>12.340400000000002</v>
      </c>
    </row>
    <row r="27" spans="2:11" x14ac:dyDescent="0.2">
      <c r="B27" s="15"/>
      <c r="C27" s="58"/>
      <c r="D27" s="16"/>
      <c r="E27" s="157"/>
      <c r="F27" s="21"/>
      <c r="G27" s="127">
        <f t="shared" si="1"/>
        <v>0</v>
      </c>
      <c r="H27" s="20"/>
      <c r="I27" s="36">
        <f t="shared" si="0"/>
        <v>1234.0400000000002</v>
      </c>
      <c r="J27" s="31"/>
      <c r="K27" s="36">
        <f>I27/SUM($E$11:E27)</f>
        <v>12.340400000000002</v>
      </c>
    </row>
    <row r="28" spans="2:11" x14ac:dyDescent="0.2">
      <c r="B28" s="15"/>
      <c r="C28" s="58"/>
      <c r="D28" s="16"/>
      <c r="E28" s="157"/>
      <c r="F28" s="21"/>
      <c r="G28" s="127">
        <f t="shared" si="1"/>
        <v>0</v>
      </c>
      <c r="H28" s="20"/>
      <c r="I28" s="36">
        <f t="shared" si="0"/>
        <v>1234.0400000000002</v>
      </c>
      <c r="J28" s="31"/>
      <c r="K28" s="36">
        <f>I28/SUM($E$11:E28)</f>
        <v>12.340400000000002</v>
      </c>
    </row>
    <row r="29" spans="2:11" x14ac:dyDescent="0.2">
      <c r="B29" s="15"/>
      <c r="C29" s="58"/>
      <c r="D29" s="16"/>
      <c r="E29" s="157"/>
      <c r="F29" s="21"/>
      <c r="G29" s="127">
        <f t="shared" si="1"/>
        <v>0</v>
      </c>
      <c r="H29" s="20"/>
      <c r="I29" s="36">
        <f t="shared" si="0"/>
        <v>1234.0400000000002</v>
      </c>
      <c r="J29" s="31"/>
      <c r="K29" s="36">
        <f>I29/SUM($E$11:E29)</f>
        <v>12.340400000000002</v>
      </c>
    </row>
    <row r="30" spans="2:11" x14ac:dyDescent="0.2">
      <c r="B30" s="15"/>
      <c r="C30" s="58"/>
      <c r="D30" s="16"/>
      <c r="E30" s="157"/>
      <c r="F30" s="21"/>
      <c r="G30" s="127">
        <f t="shared" si="1"/>
        <v>0</v>
      </c>
      <c r="H30" s="20"/>
      <c r="I30" s="36">
        <f t="shared" si="0"/>
        <v>1234.0400000000002</v>
      </c>
      <c r="J30" s="31"/>
      <c r="K30" s="36">
        <f>I30/SUM($E$11:E30)</f>
        <v>12.340400000000002</v>
      </c>
    </row>
    <row r="31" spans="2:11" x14ac:dyDescent="0.2">
      <c r="B31" s="15"/>
      <c r="C31" s="58"/>
      <c r="D31" s="16"/>
      <c r="E31" s="157"/>
      <c r="F31" s="21"/>
      <c r="G31" s="127">
        <f t="shared" si="1"/>
        <v>0</v>
      </c>
      <c r="H31" s="20"/>
      <c r="I31" s="36">
        <f t="shared" si="0"/>
        <v>1234.0400000000002</v>
      </c>
      <c r="J31" s="31"/>
      <c r="K31" s="36">
        <f>I31/SUM($E$11:E31)</f>
        <v>12.340400000000002</v>
      </c>
    </row>
    <row r="32" spans="2:11" x14ac:dyDescent="0.2">
      <c r="B32" s="15"/>
      <c r="C32" s="58"/>
      <c r="D32" s="16"/>
      <c r="E32" s="157"/>
      <c r="F32" s="21"/>
      <c r="G32" s="127">
        <f t="shared" si="1"/>
        <v>0</v>
      </c>
      <c r="H32" s="20"/>
      <c r="I32" s="36">
        <f t="shared" si="0"/>
        <v>1234.0400000000002</v>
      </c>
      <c r="J32" s="31"/>
      <c r="K32" s="36">
        <f>I32/SUM($E$11:E32)</f>
        <v>12.340400000000002</v>
      </c>
    </row>
    <row r="33" spans="2:11" x14ac:dyDescent="0.2">
      <c r="B33" s="15"/>
      <c r="C33" s="58"/>
      <c r="D33" s="16"/>
      <c r="E33" s="157"/>
      <c r="F33" s="21"/>
      <c r="G33" s="127">
        <f t="shared" si="1"/>
        <v>0</v>
      </c>
      <c r="H33" s="20"/>
      <c r="I33" s="36">
        <f t="shared" si="0"/>
        <v>1234.0400000000002</v>
      </c>
      <c r="J33" s="31"/>
      <c r="K33" s="36">
        <f>I33/SUM($E$11:E33)</f>
        <v>12.340400000000002</v>
      </c>
    </row>
    <row r="34" spans="2:11" x14ac:dyDescent="0.2">
      <c r="B34" s="15"/>
      <c r="C34" s="58"/>
      <c r="D34" s="16"/>
      <c r="E34" s="157"/>
      <c r="F34" s="21"/>
      <c r="G34" s="127">
        <f t="shared" si="1"/>
        <v>0</v>
      </c>
      <c r="H34" s="20"/>
      <c r="I34" s="36">
        <f t="shared" si="0"/>
        <v>1234.0400000000002</v>
      </c>
      <c r="J34" s="31"/>
      <c r="K34" s="36">
        <f>I34/SUM($E$11:E34)</f>
        <v>12.340400000000002</v>
      </c>
    </row>
    <row r="35" spans="2:11" x14ac:dyDescent="0.2">
      <c r="B35" s="15"/>
      <c r="C35" s="58"/>
      <c r="D35" s="16"/>
      <c r="E35" s="157"/>
      <c r="F35" s="21"/>
      <c r="G35" s="127">
        <f t="shared" si="1"/>
        <v>0</v>
      </c>
      <c r="H35" s="20"/>
      <c r="I35" s="36">
        <f t="shared" si="0"/>
        <v>1234.0400000000002</v>
      </c>
      <c r="J35" s="31"/>
      <c r="K35" s="36">
        <f>I35/SUM($E$11:E35)</f>
        <v>12.340400000000002</v>
      </c>
    </row>
    <row r="36" spans="2:11" x14ac:dyDescent="0.2">
      <c r="B36" s="15"/>
      <c r="C36" s="58"/>
      <c r="D36" s="16"/>
      <c r="E36" s="157"/>
      <c r="F36" s="21"/>
      <c r="G36" s="127">
        <f t="shared" si="1"/>
        <v>0</v>
      </c>
      <c r="H36" s="20"/>
      <c r="I36" s="36">
        <f>I19+G36</f>
        <v>1234.0400000000002</v>
      </c>
      <c r="J36" s="31"/>
      <c r="K36" s="36">
        <f>I36/SUM($E$11:E36)</f>
        <v>12.340400000000002</v>
      </c>
    </row>
    <row r="37" spans="2:11" x14ac:dyDescent="0.2">
      <c r="B37" s="15"/>
      <c r="C37" s="58"/>
      <c r="D37" s="16"/>
      <c r="E37" s="157"/>
      <c r="F37" s="21"/>
      <c r="G37" s="127">
        <f t="shared" si="1"/>
        <v>0</v>
      </c>
      <c r="H37" s="20"/>
      <c r="I37" s="36">
        <f t="shared" si="0"/>
        <v>1234.0400000000002</v>
      </c>
      <c r="J37" s="31"/>
      <c r="K37" s="36">
        <f>I37/SUM($E$11:E37)</f>
        <v>12.340400000000002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1234.0400000000002</v>
      </c>
      <c r="H38" s="20"/>
      <c r="I38" s="19"/>
      <c r="J38" s="31"/>
      <c r="K38" s="137">
        <f>SUM(G11:G37)/SUM(E11:E38)</f>
        <v>12.340400000000002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8" customHeight="1" x14ac:dyDescent="0.2">
      <c r="B41" s="39" t="s">
        <v>341</v>
      </c>
      <c r="C41" s="58" t="d">
        <v>2025-04-21</v>
      </c>
      <c r="D41" s="53"/>
      <c r="E41" s="17"/>
      <c r="F41" s="21"/>
      <c r="G41" s="36">
        <v>-25</v>
      </c>
      <c r="H41" s="20"/>
      <c r="I41" s="36">
        <f>I13+G41</f>
        <v>1349.23</v>
      </c>
      <c r="J41" s="31" t="s">
        <v>281</v>
      </c>
      <c r="K41" s="36">
        <f>I41/SUM($E$11:E41)</f>
        <v>13.4923</v>
      </c>
    </row>
    <row r="42" spans="2:11" ht="32" x14ac:dyDescent="0.2">
      <c r="B42" s="39" t="s">
        <v>536</v>
      </c>
      <c r="C42" s="58" t="d">
        <v>2025-05-16</v>
      </c>
      <c r="D42" s="16"/>
      <c r="E42" s="155"/>
      <c r="F42" s="21"/>
      <c r="G42" s="36">
        <v>-52</v>
      </c>
      <c r="H42" s="17"/>
      <c r="I42" s="36">
        <f>I41+G42</f>
        <v>1297.23</v>
      </c>
      <c r="J42" s="31" t="s">
        <v>122</v>
      </c>
      <c r="K42" s="36">
        <f>I42/SUM($E$11:E42)</f>
        <v>12.972300000000001</v>
      </c>
    </row>
    <row r="43" spans="2:11" ht="16" x14ac:dyDescent="0.2">
      <c r="B43" s="39" t="s">
        <v>631</v>
      </c>
      <c r="C43" s="58" t="d">
        <v>2025-10-10</v>
      </c>
      <c r="G43" s="36">
        <f>-18*4</f>
        <v>-72</v>
      </c>
      <c r="H43" s="17"/>
      <c r="I43" s="36">
        <f t="shared" ref="I43:I60" si="2">I42+G43</f>
        <v>1225.23</v>
      </c>
      <c r="J43" s="31"/>
      <c r="K43" s="36">
        <f>I43/SUM($E$11:E42)</f>
        <v>12.2523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1225.23</v>
      </c>
      <c r="J44" s="31"/>
      <c r="K44" s="36">
        <f>I44/SUM($E$11:E44)</f>
        <v>12.2523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1225.23</v>
      </c>
      <c r="J45" s="31"/>
      <c r="K45" s="36">
        <f>I45/SUM($E$11:E45)</f>
        <v>12.2523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1225.23</v>
      </c>
      <c r="J46" s="31"/>
      <c r="K46" s="36">
        <f>I46/SUM($E$11:E46)</f>
        <v>12.2523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1225.23</v>
      </c>
      <c r="J47" s="31"/>
      <c r="K47" s="36">
        <f>I47/SUM($E$11:E47)</f>
        <v>12.2523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1225.23</v>
      </c>
      <c r="J48" s="31"/>
      <c r="K48" s="36">
        <f>I48/SUM($E$11:E48)</f>
        <v>12.2523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1225.23</v>
      </c>
      <c r="J49" s="31"/>
      <c r="K49" s="36">
        <f>I49/SUM($E$11:E49)</f>
        <v>12.2523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1225.23</v>
      </c>
      <c r="J50" s="31"/>
      <c r="K50" s="36">
        <f>I50/SUM($E$11:E50)</f>
        <v>12.2523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1225.23</v>
      </c>
      <c r="J51" s="31"/>
      <c r="K51" s="36">
        <f>I51/SUM($E$11:E51)</f>
        <v>12.2523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1225.23</v>
      </c>
      <c r="J52" s="31"/>
      <c r="K52" s="36">
        <f>I52/SUM($E$11:E52)</f>
        <v>12.2523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1225.23</v>
      </c>
      <c r="J53" s="31"/>
      <c r="K53" s="36">
        <f>I53/SUM($E$11:E53)</f>
        <v>12.2523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1225.23</v>
      </c>
      <c r="J54" s="31"/>
      <c r="K54" s="36">
        <f>I54/SUM($E$11:E54)</f>
        <v>12.2523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1225.23</v>
      </c>
      <c r="J55" s="31"/>
      <c r="K55" s="36">
        <f>I55/SUM($E$11:E55)</f>
        <v>12.2523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1225.23</v>
      </c>
      <c r="J56" s="31"/>
      <c r="K56" s="36">
        <f>I56/SUM($E$11:E56)</f>
        <v>12.2523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1225.23</v>
      </c>
      <c r="J57" s="31"/>
      <c r="K57" s="36">
        <f>I57/SUM($E$11:E57)</f>
        <v>12.2523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1225.23</v>
      </c>
      <c r="J58" s="31"/>
      <c r="K58" s="36">
        <f>I58/SUM($E$11:E58)</f>
        <v>12.2523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1225.23</v>
      </c>
      <c r="J59" s="31"/>
      <c r="K59" s="36">
        <f>I59/SUM($E$11:E59)</f>
        <v>12.2523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1225.23</v>
      </c>
      <c r="J60" s="31"/>
      <c r="K60" s="36">
        <f>I60/SUM($E$11:E60)</f>
        <v>12.2523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ref="I61:I76" si="3">I60+G61</f>
        <v>1225.23</v>
      </c>
      <c r="J61" s="31"/>
      <c r="K61" s="36">
        <f>I61/SUM($E$11:E61)</f>
        <v>12.2523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3"/>
        <v>1225.23</v>
      </c>
      <c r="J62" s="31"/>
      <c r="K62" s="36">
        <f>I62/SUM($E$11:E62)</f>
        <v>12.2523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3"/>
        <v>1225.23</v>
      </c>
      <c r="J63" s="31"/>
      <c r="K63" s="36">
        <f>I63/SUM($E$11:E63)</f>
        <v>12.2523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3"/>
        <v>1225.23</v>
      </c>
      <c r="J64" s="31"/>
      <c r="K64" s="36">
        <f>I64/SUM($E$11:E64)</f>
        <v>12.2523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3"/>
        <v>1225.23</v>
      </c>
      <c r="J65" s="31"/>
      <c r="K65" s="36">
        <f>I65/SUM($E$11:E65)</f>
        <v>12.2523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3"/>
        <v>1225.23</v>
      </c>
      <c r="J66" s="31"/>
      <c r="K66" s="36">
        <f>I66/SUM($E$11:E66)</f>
        <v>12.2523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3"/>
        <v>1225.23</v>
      </c>
      <c r="J67" s="31"/>
      <c r="K67" s="36">
        <f>I67/SUM($E$11:E67)</f>
        <v>12.2523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3"/>
        <v>1225.23</v>
      </c>
      <c r="J68" s="31"/>
      <c r="K68" s="36">
        <f>I68/SUM($E$11:E68)</f>
        <v>12.2523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3"/>
        <v>1225.23</v>
      </c>
      <c r="J69" s="31"/>
      <c r="K69" s="36">
        <f>I69/SUM($E$11:E69)</f>
        <v>12.2523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3"/>
        <v>1225.23</v>
      </c>
      <c r="J70" s="31"/>
      <c r="K70" s="36">
        <f>I70/SUM($E$11:E70)</f>
        <v>12.2523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3"/>
        <v>1225.23</v>
      </c>
      <c r="J71" s="31"/>
      <c r="K71" s="36">
        <f>I71/SUM($E$11:E71)</f>
        <v>12.2523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3"/>
        <v>1225.23</v>
      </c>
      <c r="J72" s="31"/>
      <c r="K72" s="36">
        <f>I72/SUM($E$11:E72)</f>
        <v>12.2523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3"/>
        <v>1225.23</v>
      </c>
      <c r="J73" s="31"/>
      <c r="K73" s="36">
        <f>I73/SUM($E$11:E73)</f>
        <v>12.2523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3"/>
        <v>1225.23</v>
      </c>
      <c r="J74" s="31"/>
      <c r="K74" s="36">
        <f>I74/SUM($E$11:E74)</f>
        <v>12.2523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3"/>
        <v>1225.23</v>
      </c>
      <c r="J75" s="31"/>
      <c r="K75" s="36">
        <f>I75/SUM($E$11:E75)</f>
        <v>12.2523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3"/>
        <v>1225.23</v>
      </c>
      <c r="J76" s="31"/>
      <c r="K76" s="36">
        <f>I76/SUM($E$11:E76)</f>
        <v>12.2523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-149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355" priority="22" stopIfTrue="1">
      <formula>J77="assigned"</formula>
    </cfRule>
    <cfRule type="expression" dxfId="354" priority="23">
      <formula>J77="expired"</formula>
    </cfRule>
  </conditionalFormatting>
  <conditionalFormatting sqref="B77:B116">
    <cfRule type="expression" dxfId="353" priority="20">
      <formula>AND(ISNUMBER(SEARCH("call", B77)), J77="expired")</formula>
    </cfRule>
    <cfRule type="expression" dxfId="352" priority="21">
      <formula>AND(ISNUMBER(SEARCH("call", B77)), J77="assigned")</formula>
    </cfRule>
  </conditionalFormatting>
  <conditionalFormatting sqref="B53:B76">
    <cfRule type="expression" dxfId="351" priority="15" stopIfTrue="1">
      <formula>J53="ROLL"</formula>
    </cfRule>
    <cfRule type="expression" dxfId="350" priority="16" stopIfTrue="1">
      <formula>AND(ISNUMBER(SEARCH("call", B53)), J53="expired")</formula>
    </cfRule>
    <cfRule type="expression" dxfId="349" priority="17" stopIfTrue="1">
      <formula>AND(ISNUMBER(SEARCH("call", B53)), J53="assigned")</formula>
    </cfRule>
    <cfRule type="expression" dxfId="348" priority="18" stopIfTrue="1">
      <formula>J53="assigned"</formula>
    </cfRule>
    <cfRule type="expression" dxfId="347" priority="19">
      <formula>J53="expired"</formula>
    </cfRule>
  </conditionalFormatting>
  <conditionalFormatting sqref="B41:B52">
    <cfRule type="expression" dxfId="346" priority="1" stopIfTrue="1">
      <formula>J41="closed"</formula>
    </cfRule>
    <cfRule type="expression" dxfId="345" priority="2" stopIfTrue="1">
      <formula>J41="ROLL"</formula>
    </cfRule>
    <cfRule type="expression" dxfId="344" priority="3" stopIfTrue="1">
      <formula>AND(ISNUMBER(SEARCH("call", B41)), J41="expired")</formula>
    </cfRule>
    <cfRule type="expression" dxfId="343" priority="4" stopIfTrue="1">
      <formula>AND(ISNUMBER(SEARCH("call", B41)), J41="assigned")</formula>
    </cfRule>
    <cfRule type="expression" dxfId="342" priority="5" stopIfTrue="1">
      <formula>J41="assigned"</formula>
    </cfRule>
    <cfRule type="expression" dxfId="341" priority="6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A9E8-1C1B-EE4B-876F-D5EBFB96726B}">
  <sheetPr codeName="Sheet53"/>
  <dimension ref="B1:XFD80"/>
  <sheetViews>
    <sheetView topLeftCell="A5" zoomScale="120" zoomScaleNormal="120" workbookViewId="0">
      <selection activeCell="A29" sqref="A29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197</v>
      </c>
      <c r="C1" s="197"/>
    </row>
    <row r="2" spans="2:14" x14ac:dyDescent="0.2">
      <c r="B2" s="1"/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IF(ISERROR(SUM(G39,G78)/G4),SUM(G39,G78),SUM(G39,G78)/G4)</f>
        <v>11.2767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SUM(E11:E38)</f>
        <v>200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 t="s">
        <v>23</v>
      </c>
      <c r="C11" s="58" t="d">
        <v>2024-11-16</v>
      </c>
      <c r="D11" s="53"/>
      <c r="E11" s="17">
        <v>1</v>
      </c>
      <c r="F11" s="21">
        <v>15.6</v>
      </c>
      <c r="G11" s="127">
        <f>E11*F11</f>
        <v>15.6</v>
      </c>
      <c r="H11" s="20"/>
      <c r="I11" s="36">
        <f>G11</f>
        <v>15.6</v>
      </c>
      <c r="J11" s="31"/>
      <c r="K11" s="36">
        <f>I11/E11</f>
        <v>15.6</v>
      </c>
    </row>
    <row r="12" spans="2:14" x14ac:dyDescent="0.2">
      <c r="B12" s="15" t="s">
        <v>24</v>
      </c>
      <c r="C12" s="58" t="d">
        <v>2024-12-06</v>
      </c>
      <c r="D12" s="53"/>
      <c r="E12" s="17"/>
      <c r="F12" s="21"/>
      <c r="G12" s="127">
        <v>-0.38</v>
      </c>
      <c r="H12" s="20"/>
      <c r="I12" s="36">
        <f>I11+G12</f>
        <v>15.219999999999999</v>
      </c>
      <c r="J12" s="31"/>
      <c r="K12" s="36">
        <f>I12/SUM($E$11:E12)</f>
        <v>15.219999999999999</v>
      </c>
    </row>
    <row r="13" spans="2:14" x14ac:dyDescent="0.2">
      <c r="B13" s="15" t="s">
        <v>24</v>
      </c>
      <c r="C13" s="58" t="d">
        <v>2025-01-06</v>
      </c>
      <c r="D13" s="53"/>
      <c r="E13" s="17"/>
      <c r="F13" s="21"/>
      <c r="G13" s="127">
        <v>-0.35</v>
      </c>
      <c r="H13" s="20"/>
      <c r="I13" s="36">
        <f>I12+G13</f>
        <v>14.87</v>
      </c>
      <c r="J13" s="31"/>
      <c r="K13" s="36">
        <f>I13/SUM($E$11:E13)</f>
        <v>14.87</v>
      </c>
    </row>
    <row r="14" spans="2:14" x14ac:dyDescent="0.2">
      <c r="B14" s="15" t="s">
        <v>24</v>
      </c>
      <c r="C14" s="58" t="d">
        <v>2025-01-31</v>
      </c>
      <c r="D14" s="53"/>
      <c r="E14" s="17"/>
      <c r="F14" s="21"/>
      <c r="G14" s="127">
        <v>-0.59</v>
      </c>
      <c r="H14" s="20"/>
      <c r="I14" s="36">
        <f t="shared" ref="I14:I38" si="0">I13+G14</f>
        <v>14.28</v>
      </c>
      <c r="J14" s="31"/>
      <c r="K14" s="36">
        <f>I14/SUM($E$11:E14)</f>
        <v>14.28</v>
      </c>
    </row>
    <row r="15" spans="2:14" x14ac:dyDescent="0.2">
      <c r="B15" s="15" t="s">
        <v>24</v>
      </c>
      <c r="C15" s="58" t="d">
        <v>2025-02-28</v>
      </c>
      <c r="D15" s="53"/>
      <c r="E15" s="17"/>
      <c r="F15" s="21"/>
      <c r="G15" s="127">
        <v>-0.44</v>
      </c>
      <c r="H15" s="20"/>
      <c r="I15" s="36">
        <f t="shared" si="0"/>
        <v>13.84</v>
      </c>
      <c r="J15" s="31"/>
      <c r="K15" s="36">
        <f>I15/SUM($E$11:E15)</f>
        <v>13.84</v>
      </c>
    </row>
    <row r="16" spans="2:14" x14ac:dyDescent="0.2">
      <c r="B16" s="15" t="s">
        <v>24</v>
      </c>
      <c r="C16" s="58" t="d">
        <v>2025-03-28</v>
      </c>
      <c r="D16" s="53"/>
      <c r="E16" s="17"/>
      <c r="F16" s="21"/>
      <c r="G16" s="127">
        <v>-0.64</v>
      </c>
      <c r="H16" s="20"/>
      <c r="I16" s="36">
        <f t="shared" si="0"/>
        <v>13.2</v>
      </c>
      <c r="J16" s="31"/>
      <c r="K16" s="36">
        <f>I16/SUM($E$11:E16)</f>
        <v>13.2</v>
      </c>
    </row>
    <row r="17" spans="2:11 16384:16384" x14ac:dyDescent="0.2">
      <c r="B17" s="15" t="s">
        <v>24</v>
      </c>
      <c r="C17" s="58" t="d">
        <v>2025-04-25</v>
      </c>
      <c r="D17" s="16"/>
      <c r="E17" s="157"/>
      <c r="F17" s="21"/>
      <c r="G17" s="127">
        <v>-0.73</v>
      </c>
      <c r="H17" s="20"/>
      <c r="I17" s="36">
        <f t="shared" si="0"/>
        <v>12.469999999999999</v>
      </c>
      <c r="J17" s="31"/>
      <c r="K17" s="36">
        <f>I17/SUM($E$11:E17)</f>
        <v>12.469999999999999</v>
      </c>
    </row>
    <row r="18" spans="2:11 16384:16384" x14ac:dyDescent="0.2">
      <c r="B18" s="15" t="s">
        <v>24</v>
      </c>
      <c r="C18" s="58" t="d">
        <v>2025-05-23</v>
      </c>
      <c r="D18" s="16"/>
      <c r="E18" s="157"/>
      <c r="F18" s="21"/>
      <c r="G18" s="127">
        <v>-0.37</v>
      </c>
      <c r="H18" s="20"/>
      <c r="I18" s="36">
        <f t="shared" si="0"/>
        <v>12.1</v>
      </c>
      <c r="J18" s="31"/>
      <c r="K18" s="36">
        <f>I18/SUM($E$11:E18)</f>
        <v>12.1</v>
      </c>
    </row>
    <row r="19" spans="2:11 16384:16384" x14ac:dyDescent="0.2">
      <c r="B19" s="15" t="s">
        <v>24</v>
      </c>
      <c r="C19" s="58" t="d">
        <v>2025-06-23</v>
      </c>
      <c r="D19" s="16"/>
      <c r="E19" s="157"/>
      <c r="F19" s="21"/>
      <c r="G19" s="127">
        <v>-0.84</v>
      </c>
      <c r="H19" s="20"/>
      <c r="I19" s="36">
        <f t="shared" si="0"/>
        <v>11.26</v>
      </c>
      <c r="J19" s="31"/>
      <c r="K19" s="36">
        <f>I19/SUM($E$11:E19)</f>
        <v>11.26</v>
      </c>
    </row>
    <row r="20" spans="2:11 16384:16384" x14ac:dyDescent="0.2">
      <c r="B20" s="15" t="s">
        <v>23</v>
      </c>
      <c r="C20" s="58" t="d">
        <v>2025-06-24</v>
      </c>
      <c r="D20" s="16"/>
      <c r="E20" s="157">
        <v>99</v>
      </c>
      <c r="F20" s="21">
        <v>14.79</v>
      </c>
      <c r="G20" s="127">
        <f t="shared" ref="G20:G38" si="1">E20*F20</f>
        <v>1464.2099999999998</v>
      </c>
      <c r="H20" s="20"/>
      <c r="I20" s="36">
        <f t="shared" si="0"/>
        <v>1475.4699999999998</v>
      </c>
      <c r="J20" s="31"/>
      <c r="K20" s="36">
        <f>I20/SUM($E$11:E20)</f>
        <v>14.754699999999998</v>
      </c>
    </row>
    <row r="21" spans="2:11 16384:16384" x14ac:dyDescent="0.2">
      <c r="B21" s="15" t="s">
        <v>24</v>
      </c>
      <c r="C21" s="58" t="d">
        <v>2025-07-18</v>
      </c>
      <c r="D21" s="16"/>
      <c r="E21" s="157"/>
      <c r="F21" s="21"/>
      <c r="G21" s="127">
        <v>-33.21</v>
      </c>
      <c r="H21" s="20"/>
      <c r="I21" s="36">
        <f t="shared" si="0"/>
        <v>1442.2599999999998</v>
      </c>
      <c r="J21" s="31"/>
      <c r="K21" s="36"/>
    </row>
    <row r="22" spans="2:11 16384:16384" x14ac:dyDescent="0.2">
      <c r="B22" s="15" t="s">
        <v>523</v>
      </c>
      <c r="C22" s="58" t="d">
        <v>2025-07-21</v>
      </c>
      <c r="D22" s="16"/>
      <c r="E22" s="157">
        <v>100</v>
      </c>
      <c r="F22" s="21">
        <v>15</v>
      </c>
      <c r="G22" s="127">
        <f t="shared" si="1"/>
        <v>1500</v>
      </c>
      <c r="H22" s="20"/>
      <c r="I22" s="36">
        <f>I20+G22</f>
        <v>2975.47</v>
      </c>
      <c r="J22" s="31"/>
      <c r="K22" s="36">
        <f>I22/SUM($E$11:E22)</f>
        <v>14.87735</v>
      </c>
    </row>
    <row r="23" spans="2:11 16384:16384" x14ac:dyDescent="0.2">
      <c r="B23" s="15" t="s">
        <v>24</v>
      </c>
      <c r="C23" s="58" t="d">
        <v>2025-08-15</v>
      </c>
      <c r="D23" s="16"/>
      <c r="E23" s="157"/>
      <c r="F23" s="21"/>
      <c r="G23" s="127">
        <v>-121.96</v>
      </c>
      <c r="H23" s="20"/>
      <c r="I23" s="36">
        <f t="shared" si="0"/>
        <v>2853.5099999999998</v>
      </c>
      <c r="J23" s="31"/>
      <c r="K23" s="36">
        <f>I23/SUM($E$11:E23)</f>
        <v>14.267549999999998</v>
      </c>
      <c r="XFD23" t="s">
        <v>571</v>
      </c>
    </row>
    <row r="24" spans="2:11 16384:16384" x14ac:dyDescent="0.2">
      <c r="B24" s="15" t="s">
        <v>24</v>
      </c>
      <c r="C24" s="58" t="d">
        <v>2025-09-12</v>
      </c>
      <c r="D24" s="16"/>
      <c r="E24" s="157"/>
      <c r="F24" s="21"/>
      <c r="G24" s="127">
        <v>-129.58000000000001</v>
      </c>
      <c r="H24" s="20"/>
      <c r="I24" s="36">
        <f t="shared" si="0"/>
        <v>2723.93</v>
      </c>
      <c r="J24" s="31"/>
      <c r="K24" s="36">
        <f>I24/SUM($E$11:E24)</f>
        <v>13.61965</v>
      </c>
    </row>
    <row r="25" spans="2:11 16384:16384" x14ac:dyDescent="0.2">
      <c r="B25" s="15" t="s">
        <v>24</v>
      </c>
      <c r="C25" s="58" t="d">
        <v>2025-10-10</v>
      </c>
      <c r="D25" s="16"/>
      <c r="E25" s="157"/>
      <c r="F25" s="21"/>
      <c r="G25" s="127">
        <v>-200.6</v>
      </c>
      <c r="H25" s="20"/>
      <c r="I25" s="36">
        <f t="shared" si="0"/>
        <v>2523.33</v>
      </c>
      <c r="J25" s="31"/>
      <c r="K25" s="36">
        <f>I25/SUM($E$11:E25)</f>
        <v>12.61665</v>
      </c>
    </row>
    <row r="26" spans="2:11 16384:16384" x14ac:dyDescent="0.2">
      <c r="B26" s="15"/>
      <c r="C26" s="58" t="d">
        <v>2025-10-17</v>
      </c>
      <c r="D26" s="16"/>
      <c r="E26" s="157"/>
      <c r="F26" s="21"/>
      <c r="G26" s="127">
        <v>-22.68</v>
      </c>
      <c r="H26" s="20"/>
      <c r="I26" s="36">
        <f t="shared" si="0"/>
        <v>2500.65</v>
      </c>
      <c r="J26" s="31"/>
      <c r="K26" s="36">
        <f>I26/SUM($E$11:E26)</f>
        <v>12.503250000000001</v>
      </c>
    </row>
    <row r="27" spans="2:11 16384:16384" x14ac:dyDescent="0.2">
      <c r="B27" s="15"/>
      <c r="C27" s="58" t="d">
        <v>2025-10-24</v>
      </c>
      <c r="D27" s="16"/>
      <c r="E27" s="157"/>
      <c r="F27" s="21"/>
      <c r="G27" s="127">
        <v>-28.94</v>
      </c>
      <c r="H27" s="20"/>
      <c r="I27" s="36">
        <f t="shared" si="0"/>
        <v>2471.71</v>
      </c>
      <c r="J27" s="31"/>
      <c r="K27" s="36">
        <f>I27/SUM($E$11:E27)</f>
        <v>12.358550000000001</v>
      </c>
    </row>
    <row r="28" spans="2:11 16384:16384" x14ac:dyDescent="0.2">
      <c r="B28" s="15"/>
      <c r="C28" s="58" t="d">
        <v>2025-10-31</v>
      </c>
      <c r="D28" s="16"/>
      <c r="E28" s="157"/>
      <c r="F28" s="21"/>
      <c r="G28" s="127">
        <v>-28.16</v>
      </c>
      <c r="H28" s="20"/>
      <c r="I28" s="36">
        <f t="shared" si="0"/>
        <v>2443.5500000000002</v>
      </c>
      <c r="J28" s="31"/>
      <c r="K28" s="36">
        <f>I28/SUM($E$11:E28)</f>
        <v>12.217750000000001</v>
      </c>
    </row>
    <row r="29" spans="2:11 16384:16384" x14ac:dyDescent="0.2">
      <c r="B29" s="15"/>
      <c r="C29" s="58"/>
      <c r="D29" s="16"/>
      <c r="E29" s="157"/>
      <c r="F29" s="21"/>
      <c r="G29" s="127">
        <f t="shared" si="1"/>
        <v>0</v>
      </c>
      <c r="H29" s="20"/>
      <c r="I29" s="36">
        <f t="shared" si="0"/>
        <v>2443.5500000000002</v>
      </c>
      <c r="J29" s="31"/>
      <c r="K29" s="36">
        <f>I29/SUM($E$11:E29)</f>
        <v>12.217750000000001</v>
      </c>
    </row>
    <row r="30" spans="2:11 16384:16384" x14ac:dyDescent="0.2">
      <c r="B30" s="15"/>
      <c r="C30" s="58"/>
      <c r="D30" s="16"/>
      <c r="E30" s="157"/>
      <c r="F30" s="21"/>
      <c r="G30" s="127">
        <f t="shared" si="1"/>
        <v>0</v>
      </c>
      <c r="H30" s="20"/>
      <c r="I30" s="36">
        <f t="shared" si="0"/>
        <v>2443.5500000000002</v>
      </c>
      <c r="J30" s="31"/>
      <c r="K30" s="36">
        <f>I30/SUM($E$11:E30)</f>
        <v>12.217750000000001</v>
      </c>
    </row>
    <row r="31" spans="2:11 16384:16384" x14ac:dyDescent="0.2">
      <c r="B31" s="15"/>
      <c r="C31" s="58"/>
      <c r="D31" s="16"/>
      <c r="E31" s="157"/>
      <c r="F31" s="21"/>
      <c r="G31" s="127">
        <f t="shared" si="1"/>
        <v>0</v>
      </c>
      <c r="H31" s="20"/>
      <c r="I31" s="36">
        <f t="shared" si="0"/>
        <v>2443.5500000000002</v>
      </c>
      <c r="J31" s="31"/>
      <c r="K31" s="36">
        <f>I31/SUM($E$11:E31)</f>
        <v>12.217750000000001</v>
      </c>
    </row>
    <row r="32" spans="2:11 16384:16384" x14ac:dyDescent="0.2">
      <c r="B32" s="15"/>
      <c r="C32" s="58"/>
      <c r="D32" s="16"/>
      <c r="E32" s="157"/>
      <c r="F32" s="21"/>
      <c r="G32" s="127">
        <f t="shared" si="1"/>
        <v>0</v>
      </c>
      <c r="H32" s="20"/>
      <c r="I32" s="36">
        <f t="shared" si="0"/>
        <v>2443.5500000000002</v>
      </c>
      <c r="J32" s="31"/>
      <c r="K32" s="36">
        <f>I32/SUM($E$11:E32)</f>
        <v>12.217750000000001</v>
      </c>
    </row>
    <row r="33" spans="2:11" x14ac:dyDescent="0.2">
      <c r="B33" s="15"/>
      <c r="C33" s="58"/>
      <c r="D33" s="16"/>
      <c r="E33" s="157"/>
      <c r="F33" s="21"/>
      <c r="G33" s="127">
        <f t="shared" si="1"/>
        <v>0</v>
      </c>
      <c r="H33" s="20"/>
      <c r="I33" s="36">
        <f t="shared" si="0"/>
        <v>2443.5500000000002</v>
      </c>
      <c r="J33" s="31"/>
      <c r="K33" s="36">
        <f>I33/SUM($E$11:E33)</f>
        <v>12.217750000000001</v>
      </c>
    </row>
    <row r="34" spans="2:11" x14ac:dyDescent="0.2">
      <c r="B34" s="15"/>
      <c r="C34" s="58"/>
      <c r="D34" s="16"/>
      <c r="E34" s="157"/>
      <c r="F34" s="21"/>
      <c r="G34" s="127">
        <f t="shared" si="1"/>
        <v>0</v>
      </c>
      <c r="H34" s="20"/>
      <c r="I34" s="36">
        <f t="shared" si="0"/>
        <v>2443.5500000000002</v>
      </c>
      <c r="J34" s="31"/>
      <c r="K34" s="36">
        <f>I34/SUM($E$11:E34)</f>
        <v>12.217750000000001</v>
      </c>
    </row>
    <row r="35" spans="2:11" x14ac:dyDescent="0.2">
      <c r="B35" s="15"/>
      <c r="C35" s="58"/>
      <c r="D35" s="16"/>
      <c r="E35" s="157"/>
      <c r="F35" s="21"/>
      <c r="G35" s="127">
        <f t="shared" si="1"/>
        <v>0</v>
      </c>
      <c r="H35" s="20"/>
      <c r="I35" s="36">
        <f t="shared" si="0"/>
        <v>2443.5500000000002</v>
      </c>
      <c r="J35" s="31"/>
      <c r="K35" s="36">
        <f>I35/SUM($E$11:E35)</f>
        <v>12.217750000000001</v>
      </c>
    </row>
    <row r="36" spans="2:11" x14ac:dyDescent="0.2">
      <c r="B36" s="15"/>
      <c r="C36" s="58"/>
      <c r="D36" s="16"/>
      <c r="E36" s="157"/>
      <c r="F36" s="21"/>
      <c r="G36" s="127">
        <f t="shared" si="1"/>
        <v>0</v>
      </c>
      <c r="H36" s="20"/>
      <c r="I36" s="36">
        <f t="shared" si="0"/>
        <v>2443.5500000000002</v>
      </c>
      <c r="J36" s="31"/>
      <c r="K36" s="36">
        <f>I36/SUM($E$11:E36)</f>
        <v>12.217750000000001</v>
      </c>
    </row>
    <row r="37" spans="2:11" x14ac:dyDescent="0.2">
      <c r="B37" s="15"/>
      <c r="C37" s="58"/>
      <c r="D37" s="16"/>
      <c r="E37" s="157"/>
      <c r="F37" s="21"/>
      <c r="G37" s="127">
        <f t="shared" si="1"/>
        <v>0</v>
      </c>
      <c r="H37" s="20"/>
      <c r="I37" s="36">
        <f>I19+G37</f>
        <v>11.26</v>
      </c>
      <c r="J37" s="31"/>
      <c r="K37" s="36">
        <f>I37/SUM($E$11:E37)</f>
        <v>5.6299999999999996E-2</v>
      </c>
    </row>
    <row r="38" spans="2:11" x14ac:dyDescent="0.2">
      <c r="B38" s="15"/>
      <c r="C38" s="58"/>
      <c r="D38" s="16"/>
      <c r="E38" s="157"/>
      <c r="F38" s="21"/>
      <c r="G38" s="127">
        <f t="shared" si="1"/>
        <v>0</v>
      </c>
      <c r="H38" s="20"/>
      <c r="I38" s="36">
        <f t="shared" si="0"/>
        <v>11.26</v>
      </c>
      <c r="J38" s="31"/>
      <c r="K38" s="36">
        <f>I38/SUM($E$11:E38)</f>
        <v>5.6299999999999996E-2</v>
      </c>
    </row>
    <row r="39" spans="2:11" ht="19" x14ac:dyDescent="0.25">
      <c r="B39" s="15"/>
      <c r="C39" s="58"/>
      <c r="D39" s="16"/>
      <c r="E39" s="155"/>
      <c r="F39" s="18"/>
      <c r="G39" s="137">
        <f>SUM(G11:G38)</f>
        <v>2410.34</v>
      </c>
      <c r="H39" s="20"/>
      <c r="I39" s="19"/>
      <c r="J39" s="31"/>
      <c r="K39" s="137">
        <f>SUM(G11:G38)/SUM(E11:E39)</f>
        <v>12.0517</v>
      </c>
    </row>
    <row r="40" spans="2:11" ht="6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6.5" customHeight="1" x14ac:dyDescent="0.2">
      <c r="B41" s="15"/>
      <c r="C41" s="58"/>
      <c r="D41" s="17"/>
      <c r="E41" s="155"/>
      <c r="F41" s="18"/>
      <c r="G41" s="19"/>
      <c r="H41" s="20"/>
      <c r="I41" s="20"/>
      <c r="J41" s="31"/>
      <c r="K41" s="17"/>
    </row>
    <row r="42" spans="2:11" ht="18" customHeight="1" x14ac:dyDescent="0.2">
      <c r="B42" s="39" t="s">
        <v>459</v>
      </c>
      <c r="C42" s="58" t="d">
        <v>2025-02-03</v>
      </c>
      <c r="D42" s="53"/>
      <c r="E42" s="17"/>
      <c r="F42" s="21"/>
      <c r="G42" s="36">
        <f>-18*2</f>
        <v>-36</v>
      </c>
      <c r="H42" s="20"/>
      <c r="I42" s="36">
        <f>I13+G42</f>
        <v>-21.130000000000003</v>
      </c>
      <c r="J42" s="31" t="s">
        <v>10</v>
      </c>
      <c r="K42" s="36">
        <f>I42/SUM($E$11:E42)</f>
        <v>-0.10565000000000001</v>
      </c>
    </row>
    <row r="43" spans="2:11" ht="16" x14ac:dyDescent="0.2">
      <c r="B43" s="39" t="s">
        <v>471</v>
      </c>
      <c r="C43" s="58" t="d">
        <v>2025-06-24</v>
      </c>
      <c r="D43" s="16"/>
      <c r="E43" s="155"/>
      <c r="F43" s="21"/>
      <c r="G43" s="36">
        <v>-55</v>
      </c>
      <c r="H43" s="17"/>
      <c r="I43" s="36">
        <f t="shared" ref="I43:I77" si="2">I42+G43</f>
        <v>-76.13</v>
      </c>
      <c r="J43" s="31" t="s">
        <v>122</v>
      </c>
      <c r="K43" s="36">
        <f>I43/SUM($E$11:E43)</f>
        <v>-0.38064999999999999</v>
      </c>
    </row>
    <row r="44" spans="2:11" ht="16" x14ac:dyDescent="0.2">
      <c r="B44" s="39" t="s">
        <v>630</v>
      </c>
      <c r="C44" s="58" t="d">
        <v>2025-10-10</v>
      </c>
      <c r="D44" s="16"/>
      <c r="E44" s="155"/>
      <c r="G44" s="36">
        <f>-16*4</f>
        <v>-64</v>
      </c>
      <c r="H44" s="17"/>
      <c r="I44" s="36">
        <f t="shared" si="2"/>
        <v>-140.13</v>
      </c>
      <c r="J44" s="31"/>
      <c r="K44" s="36">
        <f>I44/SUM($E$11:E44)</f>
        <v>-0.70065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-140.13</v>
      </c>
      <c r="J45" s="31"/>
      <c r="K45" s="36">
        <f>I45/SUM($E$11:E45)</f>
        <v>-0.70065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-140.13</v>
      </c>
      <c r="J46" s="31"/>
      <c r="K46" s="36">
        <f>I46/SUM($E$11:E46)</f>
        <v>-0.70065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-140.13</v>
      </c>
      <c r="J47" s="31"/>
      <c r="K47" s="36">
        <f>I47/SUM($E$11:E47)</f>
        <v>-0.70065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-140.13</v>
      </c>
      <c r="J48" s="31"/>
      <c r="K48" s="36">
        <f>I48/SUM($E$11:E48)</f>
        <v>-0.70065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17"/>
      <c r="I49" s="36">
        <f t="shared" si="2"/>
        <v>-140.13</v>
      </c>
      <c r="J49" s="31"/>
      <c r="K49" s="36">
        <f>I49/SUM($E$11:E49)</f>
        <v>-0.70065</v>
      </c>
    </row>
    <row r="50" spans="2:1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-140.13</v>
      </c>
      <c r="J50" s="31"/>
      <c r="K50" s="36">
        <f>I50/SUM($E$11:E50)</f>
        <v>-0.70065</v>
      </c>
    </row>
    <row r="51" spans="2:11" ht="17" customHeight="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-140.13</v>
      </c>
      <c r="J51" s="31"/>
      <c r="K51" s="36">
        <f>I51/SUM($E$11:E51)</f>
        <v>-0.70065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-140.13</v>
      </c>
      <c r="J52" s="31"/>
      <c r="K52" s="36">
        <f>I52/SUM($E$11:E52)</f>
        <v>-0.70065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-140.13</v>
      </c>
      <c r="J53" s="31"/>
      <c r="K53" s="36">
        <f>I53/SUM($E$11:E53)</f>
        <v>-0.70065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-140.13</v>
      </c>
      <c r="J54" s="31"/>
      <c r="K54" s="36">
        <f>I54/SUM($E$11:E54)</f>
        <v>-0.70065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-140.13</v>
      </c>
      <c r="J55" s="31"/>
      <c r="K55" s="36">
        <f>I55/SUM($E$11:E55)</f>
        <v>-0.70065</v>
      </c>
    </row>
    <row r="56" spans="2:1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-140.13</v>
      </c>
      <c r="J56" s="31"/>
      <c r="K56" s="36">
        <f>I56/SUM($E$11:E56)</f>
        <v>-0.70065</v>
      </c>
    </row>
    <row r="57" spans="2:11" ht="16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-140.13</v>
      </c>
      <c r="J57" s="31"/>
      <c r="K57" s="36">
        <f>I57/SUM($E$11:E57)</f>
        <v>-0.70065</v>
      </c>
    </row>
    <row r="58" spans="2:11" ht="18" customHeight="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-140.13</v>
      </c>
      <c r="J58" s="31"/>
      <c r="K58" s="36">
        <f>I58/SUM($E$11:E58)</f>
        <v>-0.70065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-140.13</v>
      </c>
      <c r="J59" s="31"/>
      <c r="K59" s="36">
        <f>I59/SUM($E$11:E59)</f>
        <v>-0.70065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-140.13</v>
      </c>
      <c r="J60" s="31"/>
      <c r="K60" s="36">
        <f>I60/SUM($E$11:E60)</f>
        <v>-0.70065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-140.13</v>
      </c>
      <c r="J61" s="31"/>
      <c r="K61" s="36">
        <f>I61/SUM($E$11:E61)</f>
        <v>-0.70065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-140.13</v>
      </c>
      <c r="J62" s="31"/>
      <c r="K62" s="36">
        <f>I62/SUM($E$11:E62)</f>
        <v>-0.70065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-140.13</v>
      </c>
      <c r="J63" s="31"/>
      <c r="K63" s="36">
        <f>I63/SUM($E$11:E63)</f>
        <v>-0.70065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-140.13</v>
      </c>
      <c r="J64" s="31"/>
      <c r="K64" s="36">
        <f>I64/SUM($E$11:E64)</f>
        <v>-0.70065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-140.13</v>
      </c>
      <c r="J65" s="31"/>
      <c r="K65" s="36">
        <f>I65/SUM($E$11:E65)</f>
        <v>-0.70065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-140.13</v>
      </c>
      <c r="J66" s="31"/>
      <c r="K66" s="36">
        <f>I66/SUM($E$11:E66)</f>
        <v>-0.70065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-140.13</v>
      </c>
      <c r="J67" s="31"/>
      <c r="K67" s="36">
        <f>I67/SUM($E$11:E67)</f>
        <v>-0.70065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-140.13</v>
      </c>
      <c r="J68" s="31"/>
      <c r="K68" s="36">
        <f>I68/SUM($E$11:E68)</f>
        <v>-0.70065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-140.13</v>
      </c>
      <c r="J69" s="31"/>
      <c r="K69" s="36">
        <f>I69/SUM($E$11:E69)</f>
        <v>-0.70065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-140.13</v>
      </c>
      <c r="J70" s="31"/>
      <c r="K70" s="36">
        <f>I70/SUM($E$11:E70)</f>
        <v>-0.70065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-140.13</v>
      </c>
      <c r="J71" s="31"/>
      <c r="K71" s="36">
        <f>I71/SUM($E$11:E71)</f>
        <v>-0.70065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-140.13</v>
      </c>
      <c r="J72" s="31"/>
      <c r="K72" s="36">
        <f>I72/SUM($E$11:E72)</f>
        <v>-0.70065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-140.13</v>
      </c>
      <c r="J73" s="31"/>
      <c r="K73" s="36">
        <f>I73/SUM($E$11:E73)</f>
        <v>-0.70065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-140.13</v>
      </c>
      <c r="J74" s="31"/>
      <c r="K74" s="36">
        <f>I74/SUM($E$11:E74)</f>
        <v>-0.70065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-140.13</v>
      </c>
      <c r="J75" s="31"/>
      <c r="K75" s="36">
        <f>I75/SUM($E$11:E75)</f>
        <v>-0.70065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-140.13</v>
      </c>
      <c r="J76" s="31"/>
      <c r="K76" s="36">
        <f>I76/SUM($E$11:E76)</f>
        <v>-0.70065</v>
      </c>
    </row>
    <row r="77" spans="2:11" x14ac:dyDescent="0.2">
      <c r="B77" s="39"/>
      <c r="C77" s="58"/>
      <c r="D77" s="16"/>
      <c r="E77" s="155"/>
      <c r="F77" s="18"/>
      <c r="G77" s="36">
        <v>0</v>
      </c>
      <c r="H77" s="20"/>
      <c r="I77" s="36">
        <f t="shared" si="2"/>
        <v>-140.13</v>
      </c>
      <c r="J77" s="31"/>
      <c r="K77" s="36">
        <f>I77/SUM($E$11:E77)</f>
        <v>-0.70065</v>
      </c>
    </row>
    <row r="78" spans="2:11" ht="19" x14ac:dyDescent="0.25">
      <c r="B78" s="15"/>
      <c r="C78" s="58"/>
      <c r="D78" s="16"/>
      <c r="E78" s="155"/>
      <c r="F78" s="18"/>
      <c r="G78" s="137">
        <f>SUM(G42:G77)</f>
        <v>-155</v>
      </c>
      <c r="H78" s="20"/>
      <c r="I78" s="19"/>
      <c r="J78" s="31"/>
      <c r="K78" s="137">
        <f>I78/3400</f>
        <v>0</v>
      </c>
    </row>
    <row r="79" spans="2:11" ht="4.75" customHeight="1" x14ac:dyDescent="0.2">
      <c r="B79" s="15"/>
      <c r="C79" s="58"/>
      <c r="D79" s="17"/>
      <c r="E79" s="155"/>
      <c r="F79" s="18"/>
      <c r="G79" s="19"/>
      <c r="H79" s="20"/>
      <c r="I79" s="20"/>
      <c r="J79" s="31"/>
      <c r="K79" s="17"/>
    </row>
    <row r="80" spans="2:11" ht="14" customHeight="1" x14ac:dyDescent="0.25">
      <c r="B80" s="15"/>
      <c r="C80" s="58"/>
      <c r="D80" s="17"/>
      <c r="E80" s="158"/>
      <c r="F80" s="24"/>
      <c r="H80" s="20"/>
      <c r="I80" s="20"/>
      <c r="J80" s="31"/>
      <c r="K80" s="17"/>
    </row>
  </sheetData>
  <mergeCells count="2">
    <mergeCell ref="B1:C1"/>
    <mergeCell ref="B8:G8"/>
  </mergeCells>
  <conditionalFormatting sqref="B78:B117">
    <cfRule type="expression" dxfId="340" priority="23" stopIfTrue="1">
      <formula>J78="assigned"</formula>
    </cfRule>
    <cfRule type="expression" dxfId="339" priority="24">
      <formula>J78="expired"</formula>
    </cfRule>
  </conditionalFormatting>
  <conditionalFormatting sqref="B78:B117">
    <cfRule type="expression" dxfId="338" priority="21">
      <formula>AND(ISNUMBER(SEARCH("call", B78)), J78="expired")</formula>
    </cfRule>
    <cfRule type="expression" dxfId="337" priority="22">
      <formula>AND(ISNUMBER(SEARCH("call", B78)), J78="assigned")</formula>
    </cfRule>
  </conditionalFormatting>
  <conditionalFormatting sqref="B45:B77">
    <cfRule type="expression" dxfId="336" priority="16" stopIfTrue="1">
      <formula>J45="ROLL"</formula>
    </cfRule>
    <cfRule type="expression" dxfId="335" priority="17" stopIfTrue="1">
      <formula>AND(ISNUMBER(SEARCH("call", B45)), J45="expired")</formula>
    </cfRule>
    <cfRule type="expression" dxfId="334" priority="18" stopIfTrue="1">
      <formula>AND(ISNUMBER(SEARCH("call", B45)), J45="assigned")</formula>
    </cfRule>
    <cfRule type="expression" dxfId="333" priority="19" stopIfTrue="1">
      <formula>J45="assigned"</formula>
    </cfRule>
    <cfRule type="expression" dxfId="332" priority="20">
      <formula>J45="expired"</formula>
    </cfRule>
  </conditionalFormatting>
  <conditionalFormatting sqref="B42:B43">
    <cfRule type="expression" dxfId="331" priority="7" stopIfTrue="1">
      <formula>J42="ROLL"</formula>
    </cfRule>
    <cfRule type="expression" dxfId="330" priority="8" stopIfTrue="1">
      <formula>AND(ISNUMBER(SEARCH("call", B42)), J42="expired")</formula>
    </cfRule>
    <cfRule type="expression" dxfId="329" priority="9" stopIfTrue="1">
      <formula>AND(ISNUMBER(SEARCH("call", B42)), J42="assigned")</formula>
    </cfRule>
    <cfRule type="expression" dxfId="328" priority="10" stopIfTrue="1">
      <formula>J42="assigned"</formula>
    </cfRule>
    <cfRule type="expression" dxfId="327" priority="11">
      <formula>J42="expired"</formula>
    </cfRule>
  </conditionalFormatting>
  <conditionalFormatting sqref="B44">
    <cfRule type="expression" dxfId="326" priority="1" stopIfTrue="1">
      <formula>J44="closed"</formula>
    </cfRule>
    <cfRule type="expression" dxfId="325" priority="2" stopIfTrue="1">
      <formula>J44="ROLL"</formula>
    </cfRule>
    <cfRule type="expression" dxfId="324" priority="3" stopIfTrue="1">
      <formula>AND(ISNUMBER(SEARCH("call", B44)), J44="expired")</formula>
    </cfRule>
    <cfRule type="expression" dxfId="323" priority="4" stopIfTrue="1">
      <formula>AND(ISNUMBER(SEARCH("call", B44)), J44="assigned")</formula>
    </cfRule>
    <cfRule type="expression" dxfId="322" priority="5" stopIfTrue="1">
      <formula>J44="assigned"</formula>
    </cfRule>
    <cfRule type="expression" dxfId="321" priority="6">
      <formula>J44="expired"</formula>
    </cfRule>
  </conditionalFormatting>
  <pageMargins left="0.7" right="0.7" top="0.75" bottom="0.75" header="0.3" footer="0.3"/>
  <pageSetup paperSize="0" orientation="portrait" r:id="rId1"/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F0CE-414F-414F-81D2-AF84463EC60B}">
  <sheetPr codeName="Sheet6"/>
  <dimension ref="B1:K90"/>
  <sheetViews>
    <sheetView zoomScale="130" zoomScaleNormal="130" workbookViewId="0">
      <pane xSplit="1" ySplit="10" topLeftCell="B11" activePane="bottomRight" state="frozen"/>
      <selection activeCell="F3" sqref="F3"/>
      <selection pane="topRight" activeCell="F3" sqref="F3"/>
      <selection pane="bottomLeft" activeCell="F3" sqref="F3"/>
      <selection pane="bottomRight" activeCell="B29" sqref="B29"/>
    </sheetView>
  </sheetViews>
  <sheetFormatPr baseColWidth="10" defaultColWidth="8.83203125" defaultRowHeight="15" x14ac:dyDescent="0.2"/>
  <cols>
    <col min="1" max="1" width="6" customWidth="1"/>
    <col min="2" max="2" width="34.83203125" style="29" customWidth="1"/>
    <col min="3" max="3" width="8.83203125" style="55" bestFit="1" customWidth="1"/>
    <col min="4" max="4" width="6.6640625" customWidth="1"/>
    <col min="5" max="5" width="7.33203125" bestFit="1" customWidth="1"/>
    <col min="6" max="6" width="9.1640625" bestFit="1" customWidth="1"/>
    <col min="7" max="7" width="10.6640625" bestFit="1" customWidth="1"/>
    <col min="8" max="8" width="2.5" customWidth="1"/>
    <col min="9" max="9" width="13" customWidth="1"/>
    <col min="10" max="10" width="24" style="29" customWidth="1"/>
    <col min="11" max="11" width="7.83203125" style="2" customWidth="1"/>
  </cols>
  <sheetData>
    <row r="1" spans="2:11" ht="17" x14ac:dyDescent="0.2">
      <c r="B1" s="38" t="s">
        <v>140</v>
      </c>
    </row>
    <row r="2" spans="2:11" x14ac:dyDescent="0.2">
      <c r="B2" s="39"/>
      <c r="C2" s="56"/>
      <c r="D2" s="2"/>
      <c r="E2" s="2"/>
      <c r="F2" s="3"/>
      <c r="G2" s="4"/>
    </row>
    <row r="3" spans="2:11" ht="19" x14ac:dyDescent="0.25">
      <c r="B3" s="40"/>
      <c r="C3" s="57"/>
      <c r="D3" s="6"/>
      <c r="E3" s="6"/>
      <c r="F3" s="7" t="s">
        <v>0</v>
      </c>
      <c r="G3" s="8">
        <f>IF(ISERROR(SUM(G11:G153)/G4),SUM(G27:G153),SUM(G11:G153)/G4)</f>
        <v>940</v>
      </c>
      <c r="I3" t="s">
        <v>1</v>
      </c>
      <c r="J3" s="30">
        <v>51.6</v>
      </c>
      <c r="K3" s="6"/>
    </row>
    <row r="4" spans="2:11" x14ac:dyDescent="0.2">
      <c r="B4" s="41"/>
      <c r="C4" s="56"/>
      <c r="D4" s="2"/>
      <c r="E4" s="2"/>
      <c r="F4" s="3" t="s">
        <v>2</v>
      </c>
      <c r="G4" s="9">
        <f>SUM(E11:E153)</f>
        <v>0</v>
      </c>
    </row>
    <row r="5" spans="2:11" x14ac:dyDescent="0.2">
      <c r="C5" s="56"/>
      <c r="D5" s="2"/>
      <c r="E5" s="2"/>
      <c r="F5" s="3"/>
      <c r="G5" s="4"/>
    </row>
    <row r="6" spans="2:11" x14ac:dyDescent="0.2">
      <c r="C6" s="58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39"/>
      <c r="C7" s="58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ht="16" x14ac:dyDescent="0.2">
      <c r="B9" s="42" t="s">
        <v>11</v>
      </c>
      <c r="C9" s="59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42"/>
      <c r="C10" s="59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39"/>
      <c r="C11" s="58"/>
      <c r="D11" s="16"/>
      <c r="E11" s="17"/>
      <c r="F11" s="35"/>
      <c r="G11" s="36">
        <f>E11*F11</f>
        <v>0</v>
      </c>
      <c r="H11" s="20"/>
      <c r="I11" s="36">
        <f>G11</f>
        <v>0</v>
      </c>
      <c r="J11" s="31"/>
      <c r="K11" s="34">
        <f>IF(ISERROR(I11/$G$4),0,I11/SUM($E$11:E11))</f>
        <v>0</v>
      </c>
    </row>
    <row r="12" spans="2:11" x14ac:dyDescent="0.2">
      <c r="B12" s="39"/>
      <c r="C12" s="58"/>
      <c r="D12" s="16"/>
      <c r="E12" s="17"/>
      <c r="F12" s="35"/>
      <c r="G12" s="36">
        <f>E12*F12</f>
        <v>0</v>
      </c>
      <c r="H12" s="20"/>
      <c r="I12" s="36">
        <f>I11+G12</f>
        <v>0</v>
      </c>
      <c r="J12" s="31"/>
      <c r="K12" s="34">
        <f>IF(ISERROR(I12/$G$4),0,I12/SUM($E$11:E12))</f>
        <v>0</v>
      </c>
    </row>
    <row r="13" spans="2:11" x14ac:dyDescent="0.2">
      <c r="B13" s="39"/>
      <c r="C13" s="58"/>
      <c r="D13" s="16"/>
      <c r="E13" s="17"/>
      <c r="F13" s="35"/>
      <c r="G13" s="36">
        <f>E13*F13</f>
        <v>0</v>
      </c>
      <c r="H13" s="20"/>
      <c r="I13" s="36">
        <f>I12+G13</f>
        <v>0</v>
      </c>
      <c r="J13" s="31"/>
      <c r="K13" s="34">
        <f>IF(ISERROR(I13/$G$4),0,I13/SUM($E$11:E13))</f>
        <v>0</v>
      </c>
    </row>
    <row r="14" spans="2:11" x14ac:dyDescent="0.2">
      <c r="B14" s="39"/>
      <c r="C14" s="58"/>
      <c r="D14" s="16"/>
      <c r="E14" s="17"/>
      <c r="F14" s="35"/>
      <c r="G14" s="36">
        <f>E14*F14</f>
        <v>0</v>
      </c>
      <c r="H14" s="20"/>
      <c r="I14" s="36">
        <f>I13+G14</f>
        <v>0</v>
      </c>
      <c r="J14" s="31"/>
      <c r="K14" s="34">
        <f>IF(ISERROR(I14/$G$4),0,I14/SUM($E$11:E14))</f>
        <v>0</v>
      </c>
    </row>
    <row r="15" spans="2:11" x14ac:dyDescent="0.2">
      <c r="B15" s="39"/>
      <c r="C15" s="58"/>
      <c r="D15" s="16"/>
      <c r="E15" s="17"/>
      <c r="F15" s="35"/>
      <c r="G15" s="36">
        <f t="shared" ref="G15:G22" si="0">E15*F15</f>
        <v>0</v>
      </c>
      <c r="H15" s="20"/>
      <c r="I15" s="36">
        <f t="shared" ref="I15:I22" si="1">I14+G15</f>
        <v>0</v>
      </c>
      <c r="J15" s="31"/>
      <c r="K15" s="34">
        <f>IF(ISERROR(I15/$G$4),0,I15/SUM($E$11:E15))</f>
        <v>0</v>
      </c>
    </row>
    <row r="16" spans="2:11" x14ac:dyDescent="0.2">
      <c r="B16" s="39"/>
      <c r="C16" s="58"/>
      <c r="D16" s="16"/>
      <c r="E16" s="17"/>
      <c r="F16" s="35"/>
      <c r="G16" s="36">
        <f t="shared" si="0"/>
        <v>0</v>
      </c>
      <c r="H16" s="20"/>
      <c r="I16" s="36">
        <f t="shared" si="1"/>
        <v>0</v>
      </c>
      <c r="J16" s="31"/>
      <c r="K16" s="34">
        <f>IF(ISERROR(I16/$G$4),0,I16/SUM($E$11:E16))</f>
        <v>0</v>
      </c>
    </row>
    <row r="17" spans="2:11" x14ac:dyDescent="0.2">
      <c r="B17" s="39"/>
      <c r="C17" s="58"/>
      <c r="D17" s="16"/>
      <c r="E17" s="17"/>
      <c r="F17" s="35"/>
      <c r="G17" s="36">
        <f t="shared" si="0"/>
        <v>0</v>
      </c>
      <c r="H17" s="20"/>
      <c r="I17" s="36">
        <f t="shared" si="1"/>
        <v>0</v>
      </c>
      <c r="J17" s="31"/>
      <c r="K17" s="34">
        <f>IF(ISERROR(I17/$G$4),0,I17/SUM($E$11:E17))</f>
        <v>0</v>
      </c>
    </row>
    <row r="18" spans="2:11" x14ac:dyDescent="0.2">
      <c r="B18" s="39"/>
      <c r="C18" s="58"/>
      <c r="D18" s="16"/>
      <c r="E18" s="17"/>
      <c r="F18" s="35"/>
      <c r="G18" s="36">
        <f t="shared" si="0"/>
        <v>0</v>
      </c>
      <c r="H18" s="20"/>
      <c r="I18" s="36">
        <f t="shared" si="1"/>
        <v>0</v>
      </c>
      <c r="J18" s="31"/>
      <c r="K18" s="34">
        <f>IF(ISERROR(I18/$G$4),0,I18/SUM($E$11:E18))</f>
        <v>0</v>
      </c>
    </row>
    <row r="19" spans="2:11" x14ac:dyDescent="0.2">
      <c r="B19" s="39"/>
      <c r="C19" s="58"/>
      <c r="D19" s="16"/>
      <c r="E19" s="17"/>
      <c r="F19" s="35"/>
      <c r="G19" s="36">
        <f t="shared" si="0"/>
        <v>0</v>
      </c>
      <c r="H19" s="20"/>
      <c r="I19" s="36">
        <f t="shared" si="1"/>
        <v>0</v>
      </c>
      <c r="J19" s="31"/>
      <c r="K19" s="34">
        <f>IF(ISERROR(I19/$G$4),0,I19/SUM($E$11:E19))</f>
        <v>0</v>
      </c>
    </row>
    <row r="20" spans="2:11" x14ac:dyDescent="0.2">
      <c r="B20" s="39"/>
      <c r="C20" s="58"/>
      <c r="D20" s="16"/>
      <c r="E20" s="17"/>
      <c r="F20" s="35"/>
      <c r="G20" s="36">
        <f t="shared" si="0"/>
        <v>0</v>
      </c>
      <c r="H20" s="20"/>
      <c r="I20" s="36">
        <f t="shared" si="1"/>
        <v>0</v>
      </c>
      <c r="J20" s="31"/>
      <c r="K20" s="34">
        <f>IF(ISERROR(I20/$G$4),0,I20/SUM($E$11:E20))</f>
        <v>0</v>
      </c>
    </row>
    <row r="21" spans="2:11" x14ac:dyDescent="0.2">
      <c r="B21" s="39"/>
      <c r="C21" s="58"/>
      <c r="D21" s="16"/>
      <c r="E21" s="17"/>
      <c r="F21" s="35"/>
      <c r="G21" s="36">
        <f t="shared" si="0"/>
        <v>0</v>
      </c>
      <c r="H21" s="20"/>
      <c r="I21" s="36">
        <f t="shared" si="1"/>
        <v>0</v>
      </c>
      <c r="J21" s="31"/>
      <c r="K21" s="34">
        <f>IF(ISERROR(I21/$G$4),0,I21/SUM($E$11:E21))</f>
        <v>0</v>
      </c>
    </row>
    <row r="22" spans="2:11" x14ac:dyDescent="0.2">
      <c r="B22" s="39"/>
      <c r="C22" s="58"/>
      <c r="D22" s="16"/>
      <c r="E22" s="17"/>
      <c r="F22" s="35"/>
      <c r="G22" s="36">
        <f t="shared" si="0"/>
        <v>0</v>
      </c>
      <c r="H22" s="20"/>
      <c r="I22" s="36">
        <f t="shared" si="1"/>
        <v>0</v>
      </c>
      <c r="J22" s="31"/>
      <c r="K22" s="34">
        <f>IF(ISERROR(I22/$G$4),0,I22/SUM($E$11:E22))</f>
        <v>0</v>
      </c>
    </row>
    <row r="23" spans="2:11" x14ac:dyDescent="0.2">
      <c r="B23" s="39"/>
      <c r="C23" s="58"/>
      <c r="D23" s="16"/>
      <c r="E23" s="17"/>
      <c r="F23" s="35"/>
      <c r="G23" s="36">
        <f>E23*F23</f>
        <v>0</v>
      </c>
      <c r="H23" s="20"/>
      <c r="I23" s="36">
        <f>I14+G23</f>
        <v>0</v>
      </c>
      <c r="J23" s="31"/>
      <c r="K23" s="34">
        <f>IF(ISERROR(I23/$G$4),0,I23/SUM($E$11:E23))</f>
        <v>0</v>
      </c>
    </row>
    <row r="24" spans="2:11" x14ac:dyDescent="0.2">
      <c r="H24" s="20"/>
      <c r="I24" s="19"/>
      <c r="J24" s="31"/>
      <c r="K24" s="22" t="e">
        <f>SUM(G11:G23)/SUM(E11:E23)</f>
        <v>#DIV/0!</v>
      </c>
    </row>
    <row r="25" spans="2:11" ht="6" customHeight="1" x14ac:dyDescent="0.2">
      <c r="B25" s="47"/>
      <c r="C25" s="60"/>
      <c r="D25" s="48"/>
      <c r="E25" s="48"/>
      <c r="F25" s="49"/>
      <c r="G25" s="50"/>
      <c r="H25" s="51"/>
      <c r="I25" s="51"/>
      <c r="J25" s="52"/>
      <c r="K25" s="48"/>
    </row>
    <row r="26" spans="2:11" ht="6.5" customHeight="1" x14ac:dyDescent="0.2">
      <c r="B26" s="47"/>
      <c r="C26" s="60"/>
      <c r="D26" s="48"/>
      <c r="E26" s="48"/>
      <c r="F26" s="49"/>
      <c r="G26" s="50"/>
      <c r="H26" s="51"/>
      <c r="I26" s="51"/>
      <c r="J26" s="52"/>
      <c r="K26" s="48"/>
    </row>
    <row r="27" spans="2:11" ht="32" x14ac:dyDescent="0.2">
      <c r="B27" s="39" t="s">
        <v>419</v>
      </c>
      <c r="C27" s="58" t="d">
        <v>2025-03-18</v>
      </c>
      <c r="D27" s="53">
        <v>10</v>
      </c>
      <c r="E27" s="17"/>
      <c r="F27" s="18"/>
      <c r="G27" s="36">
        <f>-22*20</f>
        <v>-440</v>
      </c>
      <c r="H27" s="20"/>
      <c r="I27" s="46">
        <f>I23+G27</f>
        <v>-440</v>
      </c>
      <c r="J27" s="31" t="s">
        <v>127</v>
      </c>
      <c r="K27" s="37" t="e">
        <f>I27/SUM($E$11:E27)</f>
        <v>#DIV/0!</v>
      </c>
    </row>
    <row r="28" spans="2:11" ht="32" x14ac:dyDescent="0.2">
      <c r="B28" s="39" t="s">
        <v>420</v>
      </c>
      <c r="C28" s="58" t="d">
        <v>2025-04-04</v>
      </c>
      <c r="D28" s="53"/>
      <c r="E28" s="17"/>
      <c r="F28" s="18"/>
      <c r="G28" s="36">
        <f>90*20</f>
        <v>1800</v>
      </c>
      <c r="H28" s="20"/>
      <c r="I28" s="46">
        <f t="shared" ref="I28:I83" si="2">I27+G28</f>
        <v>1360</v>
      </c>
      <c r="J28" s="31"/>
      <c r="K28" s="37" t="e">
        <f>I28/SUM($E$11:E28)</f>
        <v>#DIV/0!</v>
      </c>
    </row>
    <row r="29" spans="2:11" ht="32" x14ac:dyDescent="0.2">
      <c r="B29" s="39" t="s">
        <v>421</v>
      </c>
      <c r="C29" s="58" t="d">
        <v>2025-04-30</v>
      </c>
      <c r="D29" s="53"/>
      <c r="E29" s="17"/>
      <c r="F29" s="18"/>
      <c r="G29" s="36">
        <f>-21*20</f>
        <v>-420</v>
      </c>
      <c r="H29" s="20"/>
      <c r="I29" s="46">
        <f t="shared" si="2"/>
        <v>940</v>
      </c>
      <c r="J29" s="31"/>
      <c r="K29" s="37" t="e">
        <f>I29/SUM($E$11:E29)</f>
        <v>#DIV/0!</v>
      </c>
    </row>
    <row r="30" spans="2:11" x14ac:dyDescent="0.2">
      <c r="B30" s="39"/>
      <c r="C30" s="58"/>
      <c r="D30" s="53"/>
      <c r="E30" s="17"/>
      <c r="F30" s="18"/>
      <c r="G30" s="36">
        <v>0</v>
      </c>
      <c r="H30" s="20"/>
      <c r="I30" s="46">
        <f t="shared" si="2"/>
        <v>940</v>
      </c>
      <c r="J30" s="31"/>
      <c r="K30" s="37" t="e">
        <f>I30/SUM($E$11:E30)</f>
        <v>#DIV/0!</v>
      </c>
    </row>
    <row r="31" spans="2:11" x14ac:dyDescent="0.2">
      <c r="B31" s="39"/>
      <c r="C31" s="58"/>
      <c r="D31" s="53"/>
      <c r="E31" s="17"/>
      <c r="F31" s="18"/>
      <c r="G31" s="36">
        <v>0</v>
      </c>
      <c r="H31" s="20"/>
      <c r="I31" s="46">
        <f t="shared" si="2"/>
        <v>940</v>
      </c>
      <c r="J31" s="31"/>
      <c r="K31" s="37" t="e">
        <f>I31/SUM($E$11:E31)</f>
        <v>#DIV/0!</v>
      </c>
    </row>
    <row r="32" spans="2:11" x14ac:dyDescent="0.2">
      <c r="B32" s="39"/>
      <c r="C32" s="58"/>
      <c r="D32" s="53"/>
      <c r="E32" s="17"/>
      <c r="F32" s="18"/>
      <c r="G32" s="36">
        <v>0</v>
      </c>
      <c r="H32" s="20"/>
      <c r="I32" s="46">
        <f t="shared" si="2"/>
        <v>940</v>
      </c>
      <c r="J32" s="31"/>
      <c r="K32" s="37" t="e">
        <f>I32/SUM($E$11:E32)</f>
        <v>#DIV/0!</v>
      </c>
    </row>
    <row r="33" spans="2:11" x14ac:dyDescent="0.2">
      <c r="B33" s="39"/>
      <c r="C33" s="58"/>
      <c r="D33" s="53"/>
      <c r="E33" s="17"/>
      <c r="F33" s="18"/>
      <c r="G33" s="36">
        <v>0</v>
      </c>
      <c r="H33" s="20"/>
      <c r="I33" s="46">
        <f t="shared" si="2"/>
        <v>940</v>
      </c>
      <c r="J33" s="31"/>
      <c r="K33" s="37" t="e">
        <f>I33/SUM($E$11:E33)</f>
        <v>#DIV/0!</v>
      </c>
    </row>
    <row r="34" spans="2:11" x14ac:dyDescent="0.2">
      <c r="B34" s="39"/>
      <c r="C34" s="58"/>
      <c r="D34" s="53"/>
      <c r="E34" s="17"/>
      <c r="F34" s="18"/>
      <c r="G34" s="36">
        <v>0</v>
      </c>
      <c r="H34" s="20"/>
      <c r="I34" s="46">
        <f t="shared" si="2"/>
        <v>940</v>
      </c>
      <c r="J34" s="31"/>
      <c r="K34" s="37" t="e">
        <f>I34/SUM($E$11:E34)</f>
        <v>#DIV/0!</v>
      </c>
    </row>
    <row r="35" spans="2:11" x14ac:dyDescent="0.2">
      <c r="B35" s="39"/>
      <c r="C35" s="58"/>
      <c r="D35" s="53"/>
      <c r="E35" s="17"/>
      <c r="F35" s="18"/>
      <c r="G35" s="36">
        <v>0</v>
      </c>
      <c r="H35" s="20"/>
      <c r="I35" s="46">
        <f t="shared" si="2"/>
        <v>940</v>
      </c>
      <c r="J35" s="31"/>
      <c r="K35" s="37" t="e">
        <f>I35/SUM($E$11:E35)</f>
        <v>#DIV/0!</v>
      </c>
    </row>
    <row r="36" spans="2:11" x14ac:dyDescent="0.2">
      <c r="B36" s="39"/>
      <c r="C36" s="58"/>
      <c r="D36" s="53"/>
      <c r="E36" s="17"/>
      <c r="F36" s="18"/>
      <c r="G36" s="36">
        <v>0</v>
      </c>
      <c r="H36" s="20"/>
      <c r="I36" s="46">
        <f t="shared" si="2"/>
        <v>940</v>
      </c>
      <c r="J36" s="31"/>
      <c r="K36" s="37" t="e">
        <f>I36/SUM($E$11:E36)</f>
        <v>#DIV/0!</v>
      </c>
    </row>
    <row r="37" spans="2:11" x14ac:dyDescent="0.2">
      <c r="B37" s="39"/>
      <c r="C37" s="58"/>
      <c r="D37" s="53"/>
      <c r="E37" s="17"/>
      <c r="F37" s="18"/>
      <c r="G37" s="36">
        <v>0</v>
      </c>
      <c r="H37" s="20"/>
      <c r="I37" s="46">
        <f t="shared" si="2"/>
        <v>940</v>
      </c>
      <c r="J37" s="31"/>
      <c r="K37" s="37" t="e">
        <f>I37/SUM($E$11:E37)</f>
        <v>#DIV/0!</v>
      </c>
    </row>
    <row r="38" spans="2:11" x14ac:dyDescent="0.2">
      <c r="B38" s="39"/>
      <c r="C38" s="58"/>
      <c r="D38" s="53"/>
      <c r="E38" s="17"/>
      <c r="F38" s="18"/>
      <c r="G38" s="36">
        <v>0</v>
      </c>
      <c r="H38" s="20"/>
      <c r="I38" s="46">
        <f t="shared" si="2"/>
        <v>940</v>
      </c>
      <c r="J38" s="31"/>
      <c r="K38" s="37" t="e">
        <f>I38/SUM($E$11:E38)</f>
        <v>#DIV/0!</v>
      </c>
    </row>
    <row r="39" spans="2:11" x14ac:dyDescent="0.2">
      <c r="B39" s="39"/>
      <c r="C39" s="58"/>
      <c r="D39" s="53"/>
      <c r="E39" s="17"/>
      <c r="F39" s="18"/>
      <c r="G39" s="36">
        <v>0</v>
      </c>
      <c r="H39" s="20"/>
      <c r="I39" s="46">
        <f t="shared" si="2"/>
        <v>940</v>
      </c>
      <c r="J39" s="31"/>
      <c r="K39" s="37" t="e">
        <f>I39/SUM($E$11:E39)</f>
        <v>#DIV/0!</v>
      </c>
    </row>
    <row r="40" spans="2:11" x14ac:dyDescent="0.2">
      <c r="B40" s="39"/>
      <c r="C40" s="58"/>
      <c r="D40" s="53"/>
      <c r="E40" s="17"/>
      <c r="F40" s="18"/>
      <c r="G40" s="36">
        <v>0</v>
      </c>
      <c r="H40" s="20"/>
      <c r="I40" s="46">
        <f t="shared" si="2"/>
        <v>940</v>
      </c>
      <c r="J40" s="31"/>
      <c r="K40" s="37" t="e">
        <f>I40/SUM($E$11:E40)</f>
        <v>#DIV/0!</v>
      </c>
    </row>
    <row r="41" spans="2:11" x14ac:dyDescent="0.2">
      <c r="B41" s="39"/>
      <c r="C41" s="58"/>
      <c r="D41" s="53"/>
      <c r="E41" s="17"/>
      <c r="F41" s="18"/>
      <c r="G41" s="36">
        <v>0</v>
      </c>
      <c r="H41" s="20"/>
      <c r="I41" s="46">
        <f t="shared" si="2"/>
        <v>940</v>
      </c>
      <c r="J41" s="31"/>
      <c r="K41" s="37" t="e">
        <f>I41/SUM($E$11:E41)</f>
        <v>#DIV/0!</v>
      </c>
    </row>
    <row r="42" spans="2:11" x14ac:dyDescent="0.2">
      <c r="B42" s="39"/>
      <c r="C42" s="58"/>
      <c r="D42" s="53"/>
      <c r="E42" s="17"/>
      <c r="F42" s="18"/>
      <c r="G42" s="36">
        <v>0</v>
      </c>
      <c r="H42" s="20"/>
      <c r="I42" s="46">
        <f t="shared" si="2"/>
        <v>940</v>
      </c>
      <c r="J42" s="31"/>
      <c r="K42" s="37" t="e">
        <f>I42/SUM($E$11:E42)</f>
        <v>#DIV/0!</v>
      </c>
    </row>
    <row r="43" spans="2:11" x14ac:dyDescent="0.2">
      <c r="B43" s="39"/>
      <c r="C43" s="58"/>
      <c r="D43" s="53"/>
      <c r="E43" s="17"/>
      <c r="F43" s="18"/>
      <c r="G43" s="36">
        <v>0</v>
      </c>
      <c r="H43" s="20"/>
      <c r="I43" s="46">
        <f t="shared" si="2"/>
        <v>940</v>
      </c>
      <c r="J43" s="31"/>
      <c r="K43" s="37" t="e">
        <f>I43/SUM($E$11:E43)</f>
        <v>#DIV/0!</v>
      </c>
    </row>
    <row r="44" spans="2:11" x14ac:dyDescent="0.2">
      <c r="B44" s="39"/>
      <c r="C44" s="58"/>
      <c r="D44" s="53"/>
      <c r="E44" s="17"/>
      <c r="F44" s="18"/>
      <c r="G44" s="36">
        <v>0</v>
      </c>
      <c r="H44" s="20"/>
      <c r="I44" s="46">
        <f t="shared" si="2"/>
        <v>940</v>
      </c>
      <c r="J44" s="31"/>
      <c r="K44" s="37" t="e">
        <f>I44/SUM($E$11:E44)</f>
        <v>#DIV/0!</v>
      </c>
    </row>
    <row r="45" spans="2:11" x14ac:dyDescent="0.2">
      <c r="B45" s="39"/>
      <c r="C45" s="58"/>
      <c r="D45" s="53"/>
      <c r="E45" s="17"/>
      <c r="F45" s="18"/>
      <c r="G45" s="36">
        <v>0</v>
      </c>
      <c r="H45" s="20"/>
      <c r="I45" s="46">
        <f t="shared" si="2"/>
        <v>940</v>
      </c>
      <c r="J45" s="31"/>
      <c r="K45" s="37" t="e">
        <f>I45/SUM($E$11:E45)</f>
        <v>#DIV/0!</v>
      </c>
    </row>
    <row r="46" spans="2:11" x14ac:dyDescent="0.2">
      <c r="B46" s="39"/>
      <c r="C46" s="58"/>
      <c r="D46" s="53"/>
      <c r="E46" s="17"/>
      <c r="F46" s="18"/>
      <c r="G46" s="36">
        <v>0</v>
      </c>
      <c r="H46" s="20"/>
      <c r="I46" s="46">
        <f t="shared" si="2"/>
        <v>940</v>
      </c>
      <c r="J46" s="31"/>
      <c r="K46" s="37" t="e">
        <f>I46/SUM($E$11:E46)</f>
        <v>#DIV/0!</v>
      </c>
    </row>
    <row r="47" spans="2:11" x14ac:dyDescent="0.2">
      <c r="B47" s="39"/>
      <c r="C47" s="58"/>
      <c r="D47" s="53"/>
      <c r="E47" s="17"/>
      <c r="F47" s="18"/>
      <c r="G47" s="36"/>
      <c r="H47" s="20"/>
      <c r="I47" s="46">
        <f t="shared" si="2"/>
        <v>940</v>
      </c>
      <c r="J47" s="31"/>
      <c r="K47" s="37" t="e">
        <f>I47/SUM($E$11:E47)</f>
        <v>#DIV/0!</v>
      </c>
    </row>
    <row r="48" spans="2:11" x14ac:dyDescent="0.2">
      <c r="B48" s="39"/>
      <c r="C48" s="58"/>
      <c r="D48" s="53"/>
      <c r="E48" s="17"/>
      <c r="F48" s="18"/>
      <c r="G48" s="36"/>
      <c r="H48" s="20"/>
      <c r="I48" s="46">
        <f t="shared" si="2"/>
        <v>940</v>
      </c>
      <c r="J48" s="31"/>
      <c r="K48" s="37" t="e">
        <f>I48/SUM($E$11:E48)</f>
        <v>#DIV/0!</v>
      </c>
    </row>
    <row r="49" spans="2:11" x14ac:dyDescent="0.2">
      <c r="B49" s="39"/>
      <c r="C49" s="58"/>
      <c r="D49" s="53"/>
      <c r="E49" s="17"/>
      <c r="F49" s="18"/>
      <c r="G49" s="36"/>
      <c r="H49" s="20"/>
      <c r="I49" s="46">
        <f t="shared" si="2"/>
        <v>940</v>
      </c>
      <c r="J49" s="31"/>
      <c r="K49" s="37" t="e">
        <f>I49/SUM($E$11:E49)</f>
        <v>#DIV/0!</v>
      </c>
    </row>
    <row r="50" spans="2:11" x14ac:dyDescent="0.2">
      <c r="B50" s="39"/>
      <c r="C50" s="58"/>
      <c r="D50" s="53"/>
      <c r="E50" s="17"/>
      <c r="F50" s="18"/>
      <c r="G50" s="36"/>
      <c r="H50" s="20"/>
      <c r="I50" s="46">
        <f t="shared" si="2"/>
        <v>940</v>
      </c>
      <c r="J50" s="31"/>
      <c r="K50" s="37" t="e">
        <f>I50/SUM($E$11:E50)</f>
        <v>#DIV/0!</v>
      </c>
    </row>
    <row r="51" spans="2:11" x14ac:dyDescent="0.2">
      <c r="B51" s="39"/>
      <c r="C51" s="58"/>
      <c r="D51" s="53"/>
      <c r="E51" s="17"/>
      <c r="F51" s="18"/>
      <c r="G51" s="36"/>
      <c r="H51" s="20"/>
      <c r="I51" s="46">
        <f t="shared" si="2"/>
        <v>940</v>
      </c>
      <c r="J51" s="31"/>
      <c r="K51" s="37" t="e">
        <f>I51/SUM($E$11:E51)</f>
        <v>#DIV/0!</v>
      </c>
    </row>
    <row r="52" spans="2:11" x14ac:dyDescent="0.2">
      <c r="B52" s="39"/>
      <c r="C52" s="58"/>
      <c r="D52" s="53"/>
      <c r="E52" s="17"/>
      <c r="F52" s="18"/>
      <c r="G52" s="36"/>
      <c r="H52" s="20"/>
      <c r="I52" s="46">
        <f t="shared" si="2"/>
        <v>940</v>
      </c>
      <c r="J52" s="31"/>
      <c r="K52" s="37" t="e">
        <f>I52/SUM($E$11:E52)</f>
        <v>#DIV/0!</v>
      </c>
    </row>
    <row r="53" spans="2:11" x14ac:dyDescent="0.2">
      <c r="B53" s="39"/>
      <c r="C53" s="58"/>
      <c r="D53" s="53"/>
      <c r="E53" s="17"/>
      <c r="F53" s="18"/>
      <c r="G53" s="36"/>
      <c r="H53" s="20"/>
      <c r="I53" s="46">
        <f t="shared" si="2"/>
        <v>940</v>
      </c>
      <c r="J53" s="31"/>
      <c r="K53" s="37" t="e">
        <f>I53/SUM($E$11:E53)</f>
        <v>#DIV/0!</v>
      </c>
    </row>
    <row r="54" spans="2:11" x14ac:dyDescent="0.2">
      <c r="B54" s="39"/>
      <c r="C54" s="58"/>
      <c r="D54" s="53"/>
      <c r="E54" s="17"/>
      <c r="F54" s="18"/>
      <c r="G54" s="36"/>
      <c r="H54" s="20"/>
      <c r="I54" s="46">
        <f t="shared" si="2"/>
        <v>940</v>
      </c>
      <c r="J54" s="31"/>
      <c r="K54" s="37" t="e">
        <f>I54/SUM($E$11:E54)</f>
        <v>#DIV/0!</v>
      </c>
    </row>
    <row r="55" spans="2:11" x14ac:dyDescent="0.2">
      <c r="B55" s="39"/>
      <c r="C55" s="58"/>
      <c r="D55" s="53"/>
      <c r="E55" s="17"/>
      <c r="F55" s="18"/>
      <c r="G55" s="36"/>
      <c r="H55" s="20"/>
      <c r="I55" s="46">
        <f t="shared" si="2"/>
        <v>940</v>
      </c>
      <c r="J55" s="31"/>
      <c r="K55" s="37" t="e">
        <f>I55/SUM($E$11:E55)</f>
        <v>#DIV/0!</v>
      </c>
    </row>
    <row r="56" spans="2:11" x14ac:dyDescent="0.2">
      <c r="B56" s="39"/>
      <c r="C56" s="58"/>
      <c r="D56" s="53"/>
      <c r="E56" s="17"/>
      <c r="F56" s="18"/>
      <c r="G56" s="36"/>
      <c r="H56" s="20"/>
      <c r="I56" s="46">
        <f t="shared" si="2"/>
        <v>940</v>
      </c>
      <c r="J56" s="31"/>
      <c r="K56" s="37" t="e">
        <f>I56/SUM($E$11:E56)</f>
        <v>#DIV/0!</v>
      </c>
    </row>
    <row r="57" spans="2:11" x14ac:dyDescent="0.2">
      <c r="B57" s="39"/>
      <c r="C57" s="58"/>
      <c r="D57" s="53"/>
      <c r="E57" s="17"/>
      <c r="F57" s="18"/>
      <c r="G57" s="36"/>
      <c r="H57" s="20"/>
      <c r="I57" s="46">
        <f t="shared" si="2"/>
        <v>940</v>
      </c>
      <c r="J57" s="31"/>
      <c r="K57" s="37" t="e">
        <f>I57/SUM($E$11:E57)</f>
        <v>#DIV/0!</v>
      </c>
    </row>
    <row r="58" spans="2:11" x14ac:dyDescent="0.2">
      <c r="B58" s="39"/>
      <c r="C58" s="58"/>
      <c r="D58" s="53"/>
      <c r="E58" s="17"/>
      <c r="F58" s="18"/>
      <c r="G58" s="36"/>
      <c r="H58" s="20"/>
      <c r="I58" s="46">
        <f t="shared" si="2"/>
        <v>940</v>
      </c>
      <c r="J58" s="31"/>
      <c r="K58" s="37" t="e">
        <f>I58/SUM($E$11:E58)</f>
        <v>#DIV/0!</v>
      </c>
    </row>
    <row r="59" spans="2:11" x14ac:dyDescent="0.2">
      <c r="B59" s="39"/>
      <c r="C59" s="58"/>
      <c r="D59" s="53"/>
      <c r="E59" s="17"/>
      <c r="F59" s="18"/>
      <c r="G59" s="36"/>
      <c r="H59" s="20"/>
      <c r="I59" s="46">
        <f t="shared" si="2"/>
        <v>940</v>
      </c>
      <c r="J59" s="31"/>
      <c r="K59" s="37" t="e">
        <f>I59/SUM($E$11:E59)</f>
        <v>#DIV/0!</v>
      </c>
    </row>
    <row r="60" spans="2:11" x14ac:dyDescent="0.2">
      <c r="B60" s="39"/>
      <c r="C60" s="58"/>
      <c r="D60" s="53"/>
      <c r="E60" s="17"/>
      <c r="F60" s="18"/>
      <c r="G60" s="36"/>
      <c r="H60" s="20"/>
      <c r="I60" s="46">
        <f t="shared" si="2"/>
        <v>940</v>
      </c>
      <c r="J60" s="31"/>
      <c r="K60" s="37" t="e">
        <f>I60/SUM($E$11:E60)</f>
        <v>#DIV/0!</v>
      </c>
    </row>
    <row r="61" spans="2:11" x14ac:dyDescent="0.2">
      <c r="B61" s="39"/>
      <c r="C61" s="58"/>
      <c r="D61" s="53"/>
      <c r="E61" s="17"/>
      <c r="F61" s="18"/>
      <c r="G61" s="36"/>
      <c r="H61" s="20"/>
      <c r="I61" s="46">
        <f t="shared" si="2"/>
        <v>940</v>
      </c>
      <c r="J61" s="31"/>
      <c r="K61" s="37" t="e">
        <f>I61/SUM($E$11:E61)</f>
        <v>#DIV/0!</v>
      </c>
    </row>
    <row r="62" spans="2:11" x14ac:dyDescent="0.2">
      <c r="B62" s="39"/>
      <c r="C62" s="58"/>
      <c r="D62" s="53"/>
      <c r="E62" s="17"/>
      <c r="F62" s="18"/>
      <c r="G62" s="36"/>
      <c r="H62" s="20"/>
      <c r="I62" s="46">
        <f t="shared" si="2"/>
        <v>940</v>
      </c>
      <c r="J62" s="31"/>
      <c r="K62" s="37" t="e">
        <f>I62/SUM($E$11:E62)</f>
        <v>#DIV/0!</v>
      </c>
    </row>
    <row r="63" spans="2:11" x14ac:dyDescent="0.2">
      <c r="B63" s="39"/>
      <c r="C63" s="58"/>
      <c r="D63" s="53"/>
      <c r="E63" s="17"/>
      <c r="F63" s="18"/>
      <c r="G63" s="36"/>
      <c r="H63" s="20"/>
      <c r="I63" s="46">
        <f t="shared" si="2"/>
        <v>940</v>
      </c>
      <c r="J63" s="31"/>
      <c r="K63" s="37" t="e">
        <f>I63/SUM($E$11:E63)</f>
        <v>#DIV/0!</v>
      </c>
    </row>
    <row r="64" spans="2:11" x14ac:dyDescent="0.2">
      <c r="B64" s="39"/>
      <c r="C64" s="58"/>
      <c r="D64" s="53"/>
      <c r="E64" s="17"/>
      <c r="F64" s="18"/>
      <c r="G64" s="36"/>
      <c r="H64" s="20"/>
      <c r="I64" s="46">
        <f t="shared" si="2"/>
        <v>940</v>
      </c>
      <c r="J64" s="31"/>
      <c r="K64" s="37" t="e">
        <f>I64/SUM($E$11:E64)</f>
        <v>#DIV/0!</v>
      </c>
    </row>
    <row r="65" spans="2:11" x14ac:dyDescent="0.2">
      <c r="B65" s="39"/>
      <c r="C65" s="58"/>
      <c r="D65" s="53"/>
      <c r="E65" s="17"/>
      <c r="F65" s="18"/>
      <c r="G65" s="36"/>
      <c r="H65" s="20"/>
      <c r="I65" s="46">
        <f t="shared" si="2"/>
        <v>940</v>
      </c>
      <c r="J65" s="31"/>
      <c r="K65" s="37" t="e">
        <f>I65/SUM($E$11:E65)</f>
        <v>#DIV/0!</v>
      </c>
    </row>
    <row r="66" spans="2:11" x14ac:dyDescent="0.2">
      <c r="B66" s="39"/>
      <c r="C66" s="58"/>
      <c r="D66" s="53"/>
      <c r="E66" s="17"/>
      <c r="F66" s="18"/>
      <c r="G66" s="36"/>
      <c r="H66" s="20"/>
      <c r="I66" s="46">
        <f t="shared" si="2"/>
        <v>940</v>
      </c>
      <c r="J66" s="31"/>
      <c r="K66" s="37" t="e">
        <f>I66/SUM($E$11:E66)</f>
        <v>#DIV/0!</v>
      </c>
    </row>
    <row r="67" spans="2:11" x14ac:dyDescent="0.2">
      <c r="B67" s="39"/>
      <c r="C67" s="58"/>
      <c r="D67" s="53"/>
      <c r="E67" s="17"/>
      <c r="F67" s="18"/>
      <c r="G67" s="36"/>
      <c r="H67" s="20"/>
      <c r="I67" s="46">
        <f t="shared" si="2"/>
        <v>940</v>
      </c>
      <c r="J67" s="31"/>
      <c r="K67" s="37" t="e">
        <f>I67/SUM($E$11:E67)</f>
        <v>#DIV/0!</v>
      </c>
    </row>
    <row r="68" spans="2:11" x14ac:dyDescent="0.2">
      <c r="B68" s="39"/>
      <c r="C68" s="58"/>
      <c r="D68" s="53"/>
      <c r="E68" s="17"/>
      <c r="F68" s="18"/>
      <c r="G68" s="36"/>
      <c r="H68" s="20"/>
      <c r="I68" s="46">
        <f t="shared" si="2"/>
        <v>940</v>
      </c>
      <c r="J68" s="31"/>
      <c r="K68" s="37" t="e">
        <f>I68/SUM($E$11:E68)</f>
        <v>#DIV/0!</v>
      </c>
    </row>
    <row r="69" spans="2:11" x14ac:dyDescent="0.2">
      <c r="B69" s="39"/>
      <c r="C69" s="58"/>
      <c r="D69" s="53"/>
      <c r="E69" s="17"/>
      <c r="F69" s="18"/>
      <c r="G69" s="36"/>
      <c r="H69" s="20"/>
      <c r="I69" s="46">
        <f t="shared" si="2"/>
        <v>940</v>
      </c>
      <c r="J69" s="31"/>
      <c r="K69" s="37" t="e">
        <f>I69/SUM($E$11:E69)</f>
        <v>#DIV/0!</v>
      </c>
    </row>
    <row r="70" spans="2:11" x14ac:dyDescent="0.2">
      <c r="B70" s="39"/>
      <c r="C70" s="58"/>
      <c r="D70" s="53"/>
      <c r="E70" s="17"/>
      <c r="F70" s="18"/>
      <c r="G70" s="36"/>
      <c r="H70" s="20"/>
      <c r="I70" s="46">
        <f t="shared" si="2"/>
        <v>940</v>
      </c>
      <c r="J70" s="31"/>
      <c r="K70" s="37" t="e">
        <f>I70/SUM($E$11:E70)</f>
        <v>#DIV/0!</v>
      </c>
    </row>
    <row r="71" spans="2:11" x14ac:dyDescent="0.2">
      <c r="B71" s="39"/>
      <c r="C71" s="58"/>
      <c r="D71" s="53"/>
      <c r="E71" s="17"/>
      <c r="F71" s="18"/>
      <c r="G71" s="36"/>
      <c r="H71" s="20"/>
      <c r="I71" s="46">
        <f t="shared" si="2"/>
        <v>940</v>
      </c>
      <c r="J71" s="31"/>
      <c r="K71" s="37" t="e">
        <f>I71/SUM($E$11:E71)</f>
        <v>#DIV/0!</v>
      </c>
    </row>
    <row r="72" spans="2:11" x14ac:dyDescent="0.2">
      <c r="B72" s="39"/>
      <c r="C72" s="58"/>
      <c r="D72" s="53"/>
      <c r="E72" s="17"/>
      <c r="F72" s="18"/>
      <c r="G72" s="36"/>
      <c r="H72" s="20"/>
      <c r="I72" s="46">
        <f t="shared" si="2"/>
        <v>940</v>
      </c>
      <c r="J72" s="31"/>
      <c r="K72" s="37" t="e">
        <f>I72/SUM($E$11:E72)</f>
        <v>#DIV/0!</v>
      </c>
    </row>
    <row r="73" spans="2:11" x14ac:dyDescent="0.2">
      <c r="B73" s="39"/>
      <c r="C73" s="58"/>
      <c r="D73" s="53"/>
      <c r="E73" s="17"/>
      <c r="F73" s="18"/>
      <c r="G73" s="36"/>
      <c r="H73" s="20"/>
      <c r="I73" s="46">
        <f t="shared" si="2"/>
        <v>940</v>
      </c>
      <c r="J73" s="31"/>
      <c r="K73" s="37" t="e">
        <f>I73/SUM($E$11:E73)</f>
        <v>#DIV/0!</v>
      </c>
    </row>
    <row r="74" spans="2:11" x14ac:dyDescent="0.2">
      <c r="B74" s="39"/>
      <c r="C74" s="58"/>
      <c r="D74" s="53"/>
      <c r="E74" s="17"/>
      <c r="F74" s="18"/>
      <c r="G74" s="36"/>
      <c r="H74" s="20"/>
      <c r="I74" s="46">
        <f t="shared" si="2"/>
        <v>940</v>
      </c>
      <c r="J74" s="31"/>
      <c r="K74" s="37" t="e">
        <f>I74/SUM($E$11:E74)</f>
        <v>#DIV/0!</v>
      </c>
    </row>
    <row r="75" spans="2:11" x14ac:dyDescent="0.2">
      <c r="B75" s="39"/>
      <c r="C75" s="58"/>
      <c r="D75" s="53"/>
      <c r="E75" s="17"/>
      <c r="F75" s="18"/>
      <c r="G75" s="36"/>
      <c r="H75" s="20"/>
      <c r="I75" s="46">
        <f t="shared" si="2"/>
        <v>940</v>
      </c>
      <c r="J75" s="31"/>
      <c r="K75" s="37" t="e">
        <f>I75/SUM($E$11:E75)</f>
        <v>#DIV/0!</v>
      </c>
    </row>
    <row r="76" spans="2:11" x14ac:dyDescent="0.2">
      <c r="B76" s="39"/>
      <c r="C76" s="58"/>
      <c r="D76" s="53"/>
      <c r="E76" s="17"/>
      <c r="F76" s="18"/>
      <c r="G76" s="36"/>
      <c r="H76" s="20"/>
      <c r="I76" s="46">
        <f t="shared" si="2"/>
        <v>940</v>
      </c>
      <c r="J76" s="31"/>
      <c r="K76" s="37" t="e">
        <f>I76/SUM($E$11:E76)</f>
        <v>#DIV/0!</v>
      </c>
    </row>
    <row r="77" spans="2:11" x14ac:dyDescent="0.2">
      <c r="B77" s="39"/>
      <c r="C77" s="58"/>
      <c r="D77" s="53"/>
      <c r="E77" s="17"/>
      <c r="F77" s="18"/>
      <c r="G77" s="36"/>
      <c r="H77" s="20"/>
      <c r="I77" s="46">
        <f>I48+G77</f>
        <v>940</v>
      </c>
      <c r="J77" s="31"/>
      <c r="K77" s="37" t="e">
        <f>I77/SUM($E$11:E77)</f>
        <v>#DIV/0!</v>
      </c>
    </row>
    <row r="78" spans="2:11" x14ac:dyDescent="0.2">
      <c r="B78" s="39"/>
      <c r="C78" s="58"/>
      <c r="D78" s="53"/>
      <c r="E78" s="17"/>
      <c r="F78" s="18"/>
      <c r="G78" s="36"/>
      <c r="H78" s="20"/>
      <c r="I78" s="46">
        <f t="shared" si="2"/>
        <v>940</v>
      </c>
      <c r="J78" s="31"/>
      <c r="K78" s="37" t="e">
        <f>I78/SUM($E$11:E78)</f>
        <v>#DIV/0!</v>
      </c>
    </row>
    <row r="79" spans="2:11" x14ac:dyDescent="0.2">
      <c r="B79" s="39"/>
      <c r="C79" s="58"/>
      <c r="D79" s="53"/>
      <c r="E79" s="17"/>
      <c r="F79" s="18"/>
      <c r="G79" s="36"/>
      <c r="H79" s="20"/>
      <c r="I79" s="46">
        <f t="shared" si="2"/>
        <v>940</v>
      </c>
      <c r="J79" s="31"/>
      <c r="K79" s="37" t="e">
        <f>I79/SUM($E$11:E79)</f>
        <v>#DIV/0!</v>
      </c>
    </row>
    <row r="80" spans="2:11" x14ac:dyDescent="0.2">
      <c r="B80" s="39"/>
      <c r="C80" s="58"/>
      <c r="D80" s="53"/>
      <c r="E80" s="17"/>
      <c r="F80" s="18"/>
      <c r="G80" s="36"/>
      <c r="H80" s="20"/>
      <c r="I80" s="46">
        <f t="shared" si="2"/>
        <v>940</v>
      </c>
      <c r="J80" s="31"/>
      <c r="K80" s="37" t="e">
        <f>I80/SUM($E$11:E80)</f>
        <v>#DIV/0!</v>
      </c>
    </row>
    <row r="81" spans="2:11" x14ac:dyDescent="0.2">
      <c r="B81" s="39"/>
      <c r="C81" s="58"/>
      <c r="D81" s="53"/>
      <c r="E81" s="17"/>
      <c r="F81" s="18"/>
      <c r="G81" s="36"/>
      <c r="H81" s="20"/>
      <c r="I81" s="46">
        <f t="shared" si="2"/>
        <v>940</v>
      </c>
      <c r="J81" s="31"/>
      <c r="K81" s="37" t="e">
        <f>I81/SUM($E$11:E81)</f>
        <v>#DIV/0!</v>
      </c>
    </row>
    <row r="82" spans="2:11" x14ac:dyDescent="0.2">
      <c r="B82" s="39"/>
      <c r="C82" s="58"/>
      <c r="D82" s="53"/>
      <c r="E82" s="17"/>
      <c r="F82" s="18"/>
      <c r="G82" s="36"/>
      <c r="H82" s="20"/>
      <c r="I82" s="46">
        <f t="shared" si="2"/>
        <v>940</v>
      </c>
      <c r="J82" s="31"/>
      <c r="K82" s="37" t="e">
        <f>I82/SUM($E$11:E82)</f>
        <v>#DIV/0!</v>
      </c>
    </row>
    <row r="83" spans="2:11" x14ac:dyDescent="0.2">
      <c r="B83" s="39"/>
      <c r="C83" s="58"/>
      <c r="D83" s="53"/>
      <c r="E83" s="17"/>
      <c r="F83" s="18"/>
      <c r="G83" s="36"/>
      <c r="H83" s="20"/>
      <c r="I83" s="46">
        <f t="shared" si="2"/>
        <v>940</v>
      </c>
      <c r="J83" s="31"/>
      <c r="K83" s="37" t="e">
        <f>I83/SUM($E$11:E83)</f>
        <v>#DIV/0!</v>
      </c>
    </row>
    <row r="84" spans="2:11" x14ac:dyDescent="0.2">
      <c r="B84" s="39"/>
      <c r="C84" s="58"/>
      <c r="D84" s="53"/>
      <c r="E84" s="17"/>
      <c r="F84" s="18"/>
      <c r="G84" s="19"/>
      <c r="H84" s="20"/>
      <c r="I84" s="19"/>
      <c r="J84" s="31"/>
      <c r="K84" s="22">
        <f>I84/3400</f>
        <v>0</v>
      </c>
    </row>
    <row r="85" spans="2:11" ht="4.75" customHeight="1" x14ac:dyDescent="0.2">
      <c r="B85" s="39"/>
      <c r="C85" s="58"/>
      <c r="D85" s="53"/>
      <c r="E85" s="17"/>
      <c r="F85" s="18"/>
      <c r="G85" s="19"/>
      <c r="H85" s="20"/>
      <c r="I85" s="20"/>
      <c r="J85" s="31"/>
      <c r="K85" s="17"/>
    </row>
    <row r="86" spans="2:11" ht="14.5" customHeight="1" x14ac:dyDescent="0.25">
      <c r="B86" s="39"/>
      <c r="C86" s="58"/>
      <c r="D86" s="53"/>
      <c r="E86" s="23"/>
      <c r="F86" s="24"/>
      <c r="G86" s="25"/>
      <c r="H86" s="20"/>
      <c r="I86" s="20"/>
      <c r="J86" s="31"/>
      <c r="K86" s="17"/>
    </row>
    <row r="87" spans="2:11" x14ac:dyDescent="0.2">
      <c r="D87" s="45"/>
    </row>
    <row r="88" spans="2:11" x14ac:dyDescent="0.2">
      <c r="D88" s="45"/>
    </row>
    <row r="89" spans="2:11" x14ac:dyDescent="0.2">
      <c r="D89" s="45"/>
    </row>
    <row r="90" spans="2:11" x14ac:dyDescent="0.2">
      <c r="D90" s="45"/>
    </row>
  </sheetData>
  <mergeCells count="1">
    <mergeCell ref="B8:G8"/>
  </mergeCells>
  <conditionalFormatting sqref="B37:B83">
    <cfRule type="expression" dxfId="320" priority="7">
      <formula>AND(ISNUMBER(SEARCH("call", B37)), J37="expired")</formula>
    </cfRule>
    <cfRule type="expression" dxfId="319" priority="8">
      <formula>AND(ISNUMBER(SEARCH("call", B37)), J37="assigned")</formula>
    </cfRule>
    <cfRule type="expression" dxfId="318" priority="9">
      <formula>J37="assigned"</formula>
    </cfRule>
    <cfRule type="expression" dxfId="317" priority="10">
      <formula>J37="expired"</formula>
    </cfRule>
  </conditionalFormatting>
  <conditionalFormatting sqref="B27:B36">
    <cfRule type="expression" dxfId="316" priority="1" stopIfTrue="1">
      <formula>J27="closed"</formula>
    </cfRule>
    <cfRule type="expression" dxfId="315" priority="2" stopIfTrue="1">
      <formula>J27="ROLL"</formula>
    </cfRule>
    <cfRule type="expression" dxfId="314" priority="3" stopIfTrue="1">
      <formula>AND(ISNUMBER(SEARCH("call", B27)), J27="expired")</formula>
    </cfRule>
    <cfRule type="expression" dxfId="313" priority="4" stopIfTrue="1">
      <formula>AND(ISNUMBER(SEARCH("call", B27)), J27="assigned")</formula>
    </cfRule>
    <cfRule type="expression" dxfId="312" priority="5" stopIfTrue="1">
      <formula>J27="assigned"</formula>
    </cfRule>
    <cfRule type="expression" dxfId="311" priority="6">
      <formula>J27="expired"</formula>
    </cfRule>
  </conditionalFormatting>
  <pageMargins left="0.7" right="0.7" top="0.75" bottom="0.75" header="0.3" footer="0.3"/>
  <pageSetup paperSize="0" orientation="portrait" r:id="rId1"/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8D42-46C4-5E43-8A58-54282C0E0B2A}">
  <sheetPr codeName="Sheet54"/>
  <dimension ref="B1:N79"/>
  <sheetViews>
    <sheetView topLeftCell="A6" zoomScale="120" zoomScaleNormal="120" workbookViewId="0">
      <selection activeCell="G42" sqref="G42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456</v>
      </c>
      <c r="C1" s="197"/>
    </row>
    <row r="2" spans="2:14" x14ac:dyDescent="0.2">
      <c r="B2" s="1" t="s">
        <v>280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-45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20" customHeight="1" x14ac:dyDescent="0.2">
      <c r="B41" s="39" t="s">
        <v>582</v>
      </c>
      <c r="C41" s="58" t="d">
        <v>2025-06-25</v>
      </c>
      <c r="D41" s="16"/>
      <c r="E41" s="155"/>
      <c r="F41" s="21"/>
      <c r="G41" s="36">
        <v>-45</v>
      </c>
      <c r="H41" s="20"/>
      <c r="I41" s="36">
        <f>I13+G41</f>
        <v>-45</v>
      </c>
      <c r="J41" s="31"/>
      <c r="K41" s="36" t="e">
        <f>I41/SUM($E$11:E41)</f>
        <v>#DIV/0!</v>
      </c>
    </row>
    <row r="42" spans="2:11" x14ac:dyDescent="0.2">
      <c r="B42" s="39"/>
      <c r="C42" s="58"/>
      <c r="D42" s="16"/>
      <c r="E42" s="155"/>
      <c r="F42" s="21"/>
      <c r="G42" s="36">
        <v>0</v>
      </c>
      <c r="H42" s="17"/>
      <c r="I42" s="36">
        <f t="shared" ref="I42:I76" si="2">I41+G42</f>
        <v>-45</v>
      </c>
      <c r="J42" s="31"/>
      <c r="K42" s="36" t="e">
        <f>I42/SUM($E$11:E42)</f>
        <v>#DIV/0!</v>
      </c>
    </row>
    <row r="43" spans="2:11" x14ac:dyDescent="0.2">
      <c r="B43" s="39"/>
      <c r="C43" s="58"/>
      <c r="D43" s="16"/>
      <c r="E43" s="155"/>
      <c r="G43" s="36">
        <v>0</v>
      </c>
      <c r="H43" s="17"/>
      <c r="I43" s="36">
        <f t="shared" si="2"/>
        <v>-45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-45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-45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-45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-45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-45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-45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-45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-45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-45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-45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-45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-45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-45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-45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-45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-45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-45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-45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-45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-45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-45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-45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-45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-45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-45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-45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-45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-45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-45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-45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-45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-45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-45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-45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310" priority="8" stopIfTrue="1">
      <formula>J77="assigned"</formula>
    </cfRule>
    <cfRule type="expression" dxfId="309" priority="9">
      <formula>J77="expired"</formula>
    </cfRule>
  </conditionalFormatting>
  <conditionalFormatting sqref="B77:B116">
    <cfRule type="expression" dxfId="308" priority="6">
      <formula>AND(ISNUMBER(SEARCH("call", B77)), J77="expired")</formula>
    </cfRule>
    <cfRule type="expression" dxfId="307" priority="7">
      <formula>AND(ISNUMBER(SEARCH("call", B77)), J77="assigned")</formula>
    </cfRule>
  </conditionalFormatting>
  <conditionalFormatting sqref="B41:B76">
    <cfRule type="expression" dxfId="306" priority="1" stopIfTrue="1">
      <formula>J41="ROLL"</formula>
    </cfRule>
    <cfRule type="expression" dxfId="305" priority="2" stopIfTrue="1">
      <formula>AND(ISNUMBER(SEARCH("call", B41)), J41="expired")</formula>
    </cfRule>
    <cfRule type="expression" dxfId="304" priority="3" stopIfTrue="1">
      <formula>AND(ISNUMBER(SEARCH("call", B41)), J41="assigned")</formula>
    </cfRule>
    <cfRule type="expression" dxfId="303" priority="4" stopIfTrue="1">
      <formula>J41="assigned"</formula>
    </cfRule>
    <cfRule type="expression" dxfId="302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CB5E-6E95-FE46-81BE-9D73DDAC3E4E}">
  <sheetPr codeName="Sheet5"/>
  <dimension ref="B1:K91"/>
  <sheetViews>
    <sheetView zoomScale="110" zoomScaleNormal="110" workbookViewId="0">
      <pane xSplit="1" ySplit="10" topLeftCell="B11" activePane="bottomRight" state="frozen"/>
      <selection activeCell="F3" sqref="F3"/>
      <selection pane="topRight" activeCell="F3" sqref="F3"/>
      <selection pane="bottomLeft" activeCell="F3" sqref="F3"/>
      <selection pane="bottomRight" activeCell="B28" sqref="B28"/>
    </sheetView>
  </sheetViews>
  <sheetFormatPr baseColWidth="10" defaultColWidth="8.83203125" defaultRowHeight="15" x14ac:dyDescent="0.2"/>
  <cols>
    <col min="1" max="1" width="6" customWidth="1"/>
    <col min="2" max="2" width="34.83203125" style="29" customWidth="1"/>
    <col min="3" max="3" width="8.83203125" style="55" bestFit="1" customWidth="1"/>
    <col min="4" max="4" width="6.6640625" customWidth="1"/>
    <col min="5" max="5" width="7.33203125" bestFit="1" customWidth="1"/>
    <col min="6" max="6" width="9.1640625" bestFit="1" customWidth="1"/>
    <col min="7" max="7" width="10.6640625" bestFit="1" customWidth="1"/>
    <col min="8" max="8" width="2.5" customWidth="1"/>
    <col min="9" max="9" width="13" customWidth="1"/>
    <col min="10" max="10" width="24" style="29" customWidth="1"/>
    <col min="11" max="11" width="8.6640625" style="2" customWidth="1"/>
  </cols>
  <sheetData>
    <row r="1" spans="2:11" ht="17" x14ac:dyDescent="0.2">
      <c r="B1" s="38" t="s">
        <v>60</v>
      </c>
    </row>
    <row r="2" spans="2:11" x14ac:dyDescent="0.2">
      <c r="B2" s="39"/>
      <c r="C2" s="56"/>
      <c r="D2" s="2"/>
      <c r="E2" s="2"/>
      <c r="F2" s="3"/>
      <c r="G2" s="4"/>
    </row>
    <row r="3" spans="2:11" ht="19" x14ac:dyDescent="0.25">
      <c r="B3" s="40"/>
      <c r="C3" s="57"/>
      <c r="D3" s="6"/>
      <c r="E3" s="6"/>
      <c r="F3" s="7" t="s">
        <v>0</v>
      </c>
      <c r="G3" s="8">
        <f>IF(ISERROR(SUM(G25,G85)/G4),SUM(G25,G85),SUM(G25,G85)/G4)</f>
        <v>-161</v>
      </c>
      <c r="I3" t="s">
        <v>1</v>
      </c>
      <c r="J3" s="30">
        <v>51.6</v>
      </c>
      <c r="K3" s="6"/>
    </row>
    <row r="4" spans="2:11" x14ac:dyDescent="0.2">
      <c r="B4" s="41"/>
      <c r="C4" s="56"/>
      <c r="D4" s="2"/>
      <c r="E4" s="2"/>
      <c r="F4" s="3" t="s">
        <v>2</v>
      </c>
      <c r="G4" s="9">
        <f>SUM(E11:E154)</f>
        <v>0</v>
      </c>
    </row>
    <row r="5" spans="2:11" x14ac:dyDescent="0.2">
      <c r="C5" s="56"/>
      <c r="D5" s="2"/>
      <c r="E5" s="2"/>
      <c r="F5" s="3"/>
      <c r="G5" s="4"/>
    </row>
    <row r="6" spans="2:11" x14ac:dyDescent="0.2">
      <c r="C6" s="58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39"/>
      <c r="C7" s="58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ht="16" x14ac:dyDescent="0.2">
      <c r="B9" s="42" t="s">
        <v>11</v>
      </c>
      <c r="C9" s="59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42"/>
      <c r="C10" s="59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39"/>
      <c r="C11" s="58"/>
      <c r="D11" s="16"/>
      <c r="E11" s="17"/>
      <c r="F11" s="35">
        <v>18.5</v>
      </c>
      <c r="G11" s="36">
        <f>E11*F11</f>
        <v>0</v>
      </c>
      <c r="H11" s="20"/>
      <c r="I11" s="36">
        <f>G11</f>
        <v>0</v>
      </c>
      <c r="J11" s="31"/>
      <c r="K11" s="34">
        <f>IF(ISERROR(I11/$G$4),0,I11/SUM($E$11:E11))</f>
        <v>0</v>
      </c>
    </row>
    <row r="12" spans="2:11" x14ac:dyDescent="0.2">
      <c r="B12" s="39"/>
      <c r="C12" s="58"/>
      <c r="D12" s="16"/>
      <c r="E12" s="17"/>
      <c r="F12" s="35"/>
      <c r="G12" s="36">
        <f>E12*F12</f>
        <v>0</v>
      </c>
      <c r="H12" s="20"/>
      <c r="I12" s="36">
        <f>I11+G12</f>
        <v>0</v>
      </c>
      <c r="J12" s="31"/>
      <c r="K12" s="34">
        <f>IF(ISERROR(I12/$G$4),0,I12/SUM($E$11:E12))</f>
        <v>0</v>
      </c>
    </row>
    <row r="13" spans="2:11" x14ac:dyDescent="0.2">
      <c r="B13" s="39"/>
      <c r="C13" s="58"/>
      <c r="D13" s="16"/>
      <c r="E13" s="17"/>
      <c r="F13" s="35"/>
      <c r="G13" s="36">
        <f>E13*F13</f>
        <v>0</v>
      </c>
      <c r="H13" s="20"/>
      <c r="I13" s="36">
        <f>I12+G13</f>
        <v>0</v>
      </c>
      <c r="J13" s="31"/>
      <c r="K13" s="34">
        <f>IF(ISERROR(I13/$G$4),0,I13/SUM($E$11:E13))</f>
        <v>0</v>
      </c>
    </row>
    <row r="14" spans="2:11" x14ac:dyDescent="0.2">
      <c r="B14" s="39"/>
      <c r="C14" s="58"/>
      <c r="D14" s="16"/>
      <c r="E14" s="17"/>
      <c r="F14" s="35"/>
      <c r="G14" s="36">
        <v>0</v>
      </c>
      <c r="H14" s="20"/>
      <c r="I14" s="36">
        <f>I13+G14</f>
        <v>0</v>
      </c>
      <c r="J14" s="31"/>
      <c r="K14" s="34">
        <f>IF(ISERROR(I14/$G$4),0,I14/SUM($E$11:E14))</f>
        <v>0</v>
      </c>
    </row>
    <row r="15" spans="2:11" x14ac:dyDescent="0.2">
      <c r="B15" s="39"/>
      <c r="C15" s="58"/>
      <c r="D15" s="16"/>
      <c r="E15" s="17"/>
      <c r="F15" s="35"/>
      <c r="G15" s="36">
        <f>E15*F15</f>
        <v>0</v>
      </c>
      <c r="H15" s="20"/>
      <c r="I15" s="36">
        <f>I13+G15</f>
        <v>0</v>
      </c>
      <c r="J15" s="31"/>
      <c r="K15" s="34">
        <f>IF(ISERROR(I15/$G$4),0,I15/SUM($E$11:E15))</f>
        <v>0</v>
      </c>
    </row>
    <row r="16" spans="2:11" x14ac:dyDescent="0.2">
      <c r="B16" s="39"/>
      <c r="C16" s="58"/>
      <c r="D16" s="16"/>
      <c r="E16" s="17"/>
      <c r="F16" s="35"/>
      <c r="G16" s="36">
        <f t="shared" ref="G16:G23" si="0">E16*F16</f>
        <v>0</v>
      </c>
      <c r="H16" s="20"/>
      <c r="I16" s="36">
        <f t="shared" ref="I16:I23" si="1">I15+G16</f>
        <v>0</v>
      </c>
      <c r="J16" s="31"/>
      <c r="K16" s="34">
        <f>IF(ISERROR(I16/$G$4),0,I16/SUM($E$11:E16))</f>
        <v>0</v>
      </c>
    </row>
    <row r="17" spans="2:11" ht="17" customHeight="1" x14ac:dyDescent="0.2">
      <c r="B17" s="39"/>
      <c r="C17" s="58"/>
      <c r="D17" s="16"/>
      <c r="E17" s="17"/>
      <c r="F17" s="35"/>
      <c r="G17" s="36">
        <f t="shared" si="0"/>
        <v>0</v>
      </c>
      <c r="H17" s="20"/>
      <c r="I17" s="36">
        <f t="shared" si="1"/>
        <v>0</v>
      </c>
      <c r="J17" s="31"/>
      <c r="K17" s="34">
        <f>IF(ISERROR(I17/$G$4),0,I17/SUM($E$11:E17))</f>
        <v>0</v>
      </c>
    </row>
    <row r="18" spans="2:11" ht="15" customHeight="1" x14ac:dyDescent="0.2">
      <c r="B18" s="39"/>
      <c r="C18" s="58"/>
      <c r="D18" s="16"/>
      <c r="E18" s="17"/>
      <c r="F18" s="35"/>
      <c r="G18" s="36">
        <f t="shared" si="0"/>
        <v>0</v>
      </c>
      <c r="H18" s="20"/>
      <c r="I18" s="36">
        <f t="shared" si="1"/>
        <v>0</v>
      </c>
      <c r="J18" s="31"/>
      <c r="K18" s="34">
        <f>IF(ISERROR(I18/$G$4),0,I18/SUM($E$11:E18))</f>
        <v>0</v>
      </c>
    </row>
    <row r="19" spans="2:11" x14ac:dyDescent="0.2">
      <c r="B19" s="39"/>
      <c r="C19" s="58"/>
      <c r="D19" s="16"/>
      <c r="E19" s="17"/>
      <c r="F19" s="35"/>
      <c r="G19" s="36">
        <f t="shared" si="0"/>
        <v>0</v>
      </c>
      <c r="H19" s="20"/>
      <c r="I19" s="36">
        <f t="shared" si="1"/>
        <v>0</v>
      </c>
      <c r="J19" s="31"/>
      <c r="K19" s="34">
        <f>IF(ISERROR(I19/$G$4),0,I19/SUM($E$11:E19))</f>
        <v>0</v>
      </c>
    </row>
    <row r="20" spans="2:11" x14ac:dyDescent="0.2">
      <c r="B20" s="39"/>
      <c r="C20" s="58"/>
      <c r="D20" s="16"/>
      <c r="E20" s="17"/>
      <c r="F20" s="35"/>
      <c r="G20" s="36">
        <f t="shared" si="0"/>
        <v>0</v>
      </c>
      <c r="H20" s="20"/>
      <c r="I20" s="36">
        <f t="shared" si="1"/>
        <v>0</v>
      </c>
      <c r="J20" s="31"/>
      <c r="K20" s="34">
        <f>IF(ISERROR(I20/$G$4),0,I20/SUM($E$11:E20))</f>
        <v>0</v>
      </c>
    </row>
    <row r="21" spans="2:11" x14ac:dyDescent="0.2">
      <c r="B21" s="39"/>
      <c r="C21" s="58"/>
      <c r="D21" s="16"/>
      <c r="E21" s="17"/>
      <c r="F21" s="35"/>
      <c r="G21" s="36">
        <f t="shared" si="0"/>
        <v>0</v>
      </c>
      <c r="H21" s="20"/>
      <c r="I21" s="36">
        <f t="shared" si="1"/>
        <v>0</v>
      </c>
      <c r="J21" s="31"/>
      <c r="K21" s="34">
        <f>IF(ISERROR(I21/$G$4),0,I21/SUM($E$11:E21))</f>
        <v>0</v>
      </c>
    </row>
    <row r="22" spans="2:11" x14ac:dyDescent="0.2">
      <c r="B22" s="39"/>
      <c r="C22" s="58"/>
      <c r="D22" s="16"/>
      <c r="E22" s="17"/>
      <c r="F22" s="35"/>
      <c r="G22" s="36">
        <f t="shared" si="0"/>
        <v>0</v>
      </c>
      <c r="H22" s="20"/>
      <c r="I22" s="36">
        <f t="shared" si="1"/>
        <v>0</v>
      </c>
      <c r="J22" s="31"/>
      <c r="K22" s="34">
        <f>IF(ISERROR(I22/$G$4),0,I22/SUM($E$11:E22))</f>
        <v>0</v>
      </c>
    </row>
    <row r="23" spans="2:11" x14ac:dyDescent="0.2">
      <c r="B23" s="39"/>
      <c r="C23" s="58"/>
      <c r="D23" s="16"/>
      <c r="E23" s="17"/>
      <c r="F23" s="35"/>
      <c r="G23" s="36">
        <f t="shared" si="0"/>
        <v>0</v>
      </c>
      <c r="H23" s="20"/>
      <c r="I23" s="36">
        <f t="shared" si="1"/>
        <v>0</v>
      </c>
      <c r="J23" s="31"/>
      <c r="K23" s="34">
        <f>IF(ISERROR(I23/$G$4),0,I23/SUM($E$11:E23))</f>
        <v>0</v>
      </c>
    </row>
    <row r="24" spans="2:11" x14ac:dyDescent="0.2">
      <c r="B24" s="39"/>
      <c r="C24" s="58"/>
      <c r="D24" s="16"/>
      <c r="E24" s="17"/>
      <c r="F24" s="35"/>
      <c r="G24" s="36">
        <f>E24*F24</f>
        <v>0</v>
      </c>
      <c r="H24" s="20"/>
      <c r="I24" s="36">
        <f>I15+G24</f>
        <v>0</v>
      </c>
      <c r="J24" s="31"/>
      <c r="K24" s="34">
        <f>IF(ISERROR(I24/$G$4),0,I24/SUM($E$11:E24))</f>
        <v>0</v>
      </c>
    </row>
    <row r="25" spans="2:11" ht="19" x14ac:dyDescent="0.25">
      <c r="G25" s="25">
        <f>SUM(G11:G24)</f>
        <v>0</v>
      </c>
      <c r="H25" s="20"/>
      <c r="I25" s="19"/>
      <c r="J25" s="31"/>
      <c r="K25" s="25" t="e">
        <f>SUM(G11:G24)/SUM(E11:E24)</f>
        <v>#DIV/0!</v>
      </c>
    </row>
    <row r="26" spans="2:11" ht="6" customHeight="1" x14ac:dyDescent="0.2">
      <c r="B26" s="47"/>
      <c r="C26" s="60"/>
      <c r="D26" s="48"/>
      <c r="E26" s="48"/>
      <c r="F26" s="49"/>
      <c r="G26" s="50"/>
      <c r="H26" s="51"/>
      <c r="I26" s="51"/>
      <c r="J26" s="52"/>
      <c r="K26" s="48"/>
    </row>
    <row r="27" spans="2:11" ht="6.5" customHeight="1" x14ac:dyDescent="0.2">
      <c r="B27" s="47"/>
      <c r="C27" s="60"/>
      <c r="D27" s="48"/>
      <c r="E27" s="48"/>
      <c r="F27" s="49"/>
      <c r="G27" s="50"/>
      <c r="H27" s="51"/>
      <c r="I27" s="51"/>
      <c r="J27" s="52"/>
      <c r="K27" s="48"/>
    </row>
    <row r="28" spans="2:11" ht="16" x14ac:dyDescent="0.2">
      <c r="B28" s="39" t="s">
        <v>61</v>
      </c>
      <c r="C28" s="58" t="d">
        <v>2024-08-05</v>
      </c>
      <c r="D28" s="53"/>
      <c r="E28" s="17"/>
      <c r="F28" s="18"/>
      <c r="G28" s="36">
        <f>-5*4</f>
        <v>-20</v>
      </c>
      <c r="H28" s="20"/>
      <c r="I28" s="46">
        <f>I24+G28</f>
        <v>-20</v>
      </c>
      <c r="J28" s="31" t="s">
        <v>10</v>
      </c>
      <c r="K28" s="37" t="e">
        <f>I28/SUM($E$11:E28)</f>
        <v>#DIV/0!</v>
      </c>
    </row>
    <row r="29" spans="2:11" ht="16" x14ac:dyDescent="0.2">
      <c r="B29" s="39" t="s">
        <v>62</v>
      </c>
      <c r="C29" s="58" t="d">
        <v>2024-09-03</v>
      </c>
      <c r="D29" s="53"/>
      <c r="E29" s="17"/>
      <c r="F29" s="18"/>
      <c r="G29" s="36">
        <v>-14</v>
      </c>
      <c r="H29" s="20"/>
      <c r="I29" s="46">
        <f t="shared" ref="I29:I84" si="2">I28+G29</f>
        <v>-34</v>
      </c>
      <c r="J29" s="31" t="s">
        <v>10</v>
      </c>
      <c r="K29" s="37" t="e">
        <f>I29/SUM($E$11:E29)</f>
        <v>#DIV/0!</v>
      </c>
    </row>
    <row r="30" spans="2:11" ht="16" x14ac:dyDescent="0.2">
      <c r="B30" s="39" t="s">
        <v>215</v>
      </c>
      <c r="C30" s="58" t="d">
        <v>2024-10-30</v>
      </c>
      <c r="D30" s="53"/>
      <c r="E30" s="17"/>
      <c r="F30" s="18"/>
      <c r="G30" s="36">
        <f>-11*4</f>
        <v>-44</v>
      </c>
      <c r="H30" s="20"/>
      <c r="I30" s="46">
        <f t="shared" si="2"/>
        <v>-78</v>
      </c>
      <c r="J30" s="31" t="s">
        <v>10</v>
      </c>
      <c r="K30" s="37" t="e">
        <f>I30/SUM($E$11:E30)</f>
        <v>#DIV/0!</v>
      </c>
    </row>
    <row r="31" spans="2:11" ht="16" x14ac:dyDescent="0.2">
      <c r="B31" s="39" t="s">
        <v>252</v>
      </c>
      <c r="C31" s="58" t="d">
        <v>2024-12-23</v>
      </c>
      <c r="D31" s="53"/>
      <c r="E31" s="17"/>
      <c r="F31" s="18"/>
      <c r="G31" s="36">
        <v>-13</v>
      </c>
      <c r="H31" s="20"/>
      <c r="I31" s="46">
        <f t="shared" si="2"/>
        <v>-91</v>
      </c>
      <c r="J31" s="31" t="s">
        <v>10</v>
      </c>
      <c r="K31" s="37" t="e">
        <f>I31/SUM($E$11:E31)</f>
        <v>#DIV/0!</v>
      </c>
    </row>
    <row r="32" spans="2:11" ht="16" x14ac:dyDescent="0.2">
      <c r="B32" s="39" t="s">
        <v>253</v>
      </c>
      <c r="C32" s="58" t="d">
        <v>2025-01-24</v>
      </c>
      <c r="D32" s="53"/>
      <c r="E32" s="17"/>
      <c r="F32" s="18"/>
      <c r="G32" s="36">
        <f>-14*5</f>
        <v>-70</v>
      </c>
      <c r="H32" s="20"/>
      <c r="I32" s="46">
        <f t="shared" si="2"/>
        <v>-161</v>
      </c>
      <c r="J32" s="31" t="s">
        <v>10</v>
      </c>
      <c r="K32" s="37" t="e">
        <f>I32/SUM($E$11:E32)</f>
        <v>#DIV/0!</v>
      </c>
    </row>
    <row r="33" spans="2:11" x14ac:dyDescent="0.2">
      <c r="B33" s="39"/>
      <c r="C33" s="58"/>
      <c r="D33" s="53"/>
      <c r="E33" s="17"/>
      <c r="F33" s="18"/>
      <c r="G33" s="36">
        <v>0</v>
      </c>
      <c r="H33" s="20"/>
      <c r="I33" s="46">
        <f t="shared" si="2"/>
        <v>-161</v>
      </c>
      <c r="J33" s="31"/>
      <c r="K33" s="37" t="e">
        <f>I33/SUM($E$11:E33)</f>
        <v>#DIV/0!</v>
      </c>
    </row>
    <row r="34" spans="2:11" x14ac:dyDescent="0.2">
      <c r="B34" s="39"/>
      <c r="C34" s="58"/>
      <c r="D34" s="53"/>
      <c r="E34" s="17"/>
      <c r="F34" s="18"/>
      <c r="G34" s="36">
        <v>0</v>
      </c>
      <c r="H34" s="20"/>
      <c r="I34" s="46">
        <f t="shared" si="2"/>
        <v>-161</v>
      </c>
      <c r="J34" s="31"/>
      <c r="K34" s="37" t="e">
        <f>I34/SUM($E$11:E34)</f>
        <v>#DIV/0!</v>
      </c>
    </row>
    <row r="35" spans="2:11" x14ac:dyDescent="0.2">
      <c r="B35" s="39"/>
      <c r="C35" s="58"/>
      <c r="D35" s="53"/>
      <c r="E35" s="17"/>
      <c r="F35" s="18"/>
      <c r="G35" s="36">
        <v>0</v>
      </c>
      <c r="H35" s="20"/>
      <c r="I35" s="46">
        <f t="shared" si="2"/>
        <v>-161</v>
      </c>
      <c r="J35" s="31"/>
      <c r="K35" s="37" t="e">
        <f>I35/SUM($E$11:E35)</f>
        <v>#DIV/0!</v>
      </c>
    </row>
    <row r="36" spans="2:11" x14ac:dyDescent="0.2">
      <c r="B36" s="39"/>
      <c r="C36" s="58"/>
      <c r="D36" s="53"/>
      <c r="E36" s="17"/>
      <c r="F36" s="18"/>
      <c r="G36" s="36">
        <v>0</v>
      </c>
      <c r="H36" s="20"/>
      <c r="I36" s="46">
        <f t="shared" si="2"/>
        <v>-161</v>
      </c>
      <c r="J36" s="31"/>
      <c r="K36" s="37" t="e">
        <f>I36/SUM($E$11:E36)</f>
        <v>#DIV/0!</v>
      </c>
    </row>
    <row r="37" spans="2:11" x14ac:dyDescent="0.2">
      <c r="B37" s="39"/>
      <c r="C37" s="58"/>
      <c r="D37" s="53"/>
      <c r="E37" s="17"/>
      <c r="F37" s="18"/>
      <c r="G37" s="36">
        <v>0</v>
      </c>
      <c r="H37" s="20"/>
      <c r="I37" s="46">
        <f t="shared" si="2"/>
        <v>-161</v>
      </c>
      <c r="J37" s="31"/>
      <c r="K37" s="37" t="e">
        <f>I37/SUM($E$11:E37)</f>
        <v>#DIV/0!</v>
      </c>
    </row>
    <row r="38" spans="2:11" x14ac:dyDescent="0.2">
      <c r="B38" s="39"/>
      <c r="C38" s="58"/>
      <c r="D38" s="53"/>
      <c r="E38" s="17"/>
      <c r="F38" s="18"/>
      <c r="G38" s="36">
        <v>0</v>
      </c>
      <c r="H38" s="20"/>
      <c r="I38" s="46">
        <f t="shared" si="2"/>
        <v>-161</v>
      </c>
      <c r="J38" s="31"/>
      <c r="K38" s="37" t="e">
        <f>I38/SUM($E$11:E38)</f>
        <v>#DIV/0!</v>
      </c>
    </row>
    <row r="39" spans="2:11" x14ac:dyDescent="0.2">
      <c r="B39" s="39"/>
      <c r="C39" s="58"/>
      <c r="D39" s="53"/>
      <c r="E39" s="17"/>
      <c r="F39" s="18"/>
      <c r="G39" s="36">
        <v>0</v>
      </c>
      <c r="H39" s="20"/>
      <c r="I39" s="46">
        <f t="shared" si="2"/>
        <v>-161</v>
      </c>
      <c r="J39" s="31"/>
      <c r="K39" s="37" t="e">
        <f>I39/SUM($E$11:E39)</f>
        <v>#DIV/0!</v>
      </c>
    </row>
    <row r="40" spans="2:11" x14ac:dyDescent="0.2">
      <c r="B40" s="39"/>
      <c r="C40" s="58"/>
      <c r="D40" s="53"/>
      <c r="E40" s="17"/>
      <c r="F40" s="18"/>
      <c r="G40" s="36">
        <v>0</v>
      </c>
      <c r="H40" s="20"/>
      <c r="I40" s="46">
        <f t="shared" si="2"/>
        <v>-161</v>
      </c>
      <c r="J40" s="31"/>
      <c r="K40" s="37" t="e">
        <f>I40/SUM($E$11:E40)</f>
        <v>#DIV/0!</v>
      </c>
    </row>
    <row r="41" spans="2:11" x14ac:dyDescent="0.2">
      <c r="B41" s="39"/>
      <c r="C41" s="58"/>
      <c r="D41" s="53"/>
      <c r="E41" s="17"/>
      <c r="F41" s="18"/>
      <c r="G41" s="36">
        <v>0</v>
      </c>
      <c r="H41" s="20"/>
      <c r="I41" s="46">
        <f t="shared" si="2"/>
        <v>-161</v>
      </c>
      <c r="J41" s="31"/>
      <c r="K41" s="37" t="e">
        <f>I41/SUM($E$11:E41)</f>
        <v>#DIV/0!</v>
      </c>
    </row>
    <row r="42" spans="2:11" x14ac:dyDescent="0.2">
      <c r="B42" s="39"/>
      <c r="C42" s="58"/>
      <c r="D42" s="53"/>
      <c r="E42" s="17"/>
      <c r="F42" s="18"/>
      <c r="G42" s="36">
        <v>0</v>
      </c>
      <c r="H42" s="20"/>
      <c r="I42" s="46">
        <f t="shared" si="2"/>
        <v>-161</v>
      </c>
      <c r="J42" s="31"/>
      <c r="K42" s="37" t="e">
        <f>I42/SUM($E$11:E42)</f>
        <v>#DIV/0!</v>
      </c>
    </row>
    <row r="43" spans="2:11" x14ac:dyDescent="0.2">
      <c r="B43" s="39"/>
      <c r="C43" s="58"/>
      <c r="D43" s="53"/>
      <c r="E43" s="17"/>
      <c r="F43" s="18"/>
      <c r="G43" s="36">
        <v>0</v>
      </c>
      <c r="H43" s="20"/>
      <c r="I43" s="46">
        <f t="shared" si="2"/>
        <v>-161</v>
      </c>
      <c r="J43" s="31"/>
      <c r="K43" s="37" t="e">
        <f>I43/SUM($E$11:E43)</f>
        <v>#DIV/0!</v>
      </c>
    </row>
    <row r="44" spans="2:11" x14ac:dyDescent="0.2">
      <c r="B44" s="39"/>
      <c r="C44" s="58"/>
      <c r="D44" s="53"/>
      <c r="E44" s="17"/>
      <c r="F44" s="18"/>
      <c r="G44" s="36">
        <v>0</v>
      </c>
      <c r="H44" s="20"/>
      <c r="I44" s="46">
        <f t="shared" si="2"/>
        <v>-161</v>
      </c>
      <c r="J44" s="31"/>
      <c r="K44" s="37" t="e">
        <f>I44/SUM($E$11:E44)</f>
        <v>#DIV/0!</v>
      </c>
    </row>
    <row r="45" spans="2:11" x14ac:dyDescent="0.2">
      <c r="B45" s="39"/>
      <c r="C45" s="58"/>
      <c r="D45" s="53"/>
      <c r="E45" s="17"/>
      <c r="F45" s="18"/>
      <c r="G45" s="36">
        <v>0</v>
      </c>
      <c r="H45" s="20"/>
      <c r="I45" s="46">
        <f t="shared" si="2"/>
        <v>-161</v>
      </c>
      <c r="J45" s="31"/>
      <c r="K45" s="37" t="e">
        <f>I45/SUM($E$11:E45)</f>
        <v>#DIV/0!</v>
      </c>
    </row>
    <row r="46" spans="2:11" x14ac:dyDescent="0.2">
      <c r="B46" s="39"/>
      <c r="C46" s="58"/>
      <c r="D46" s="53"/>
      <c r="E46" s="17"/>
      <c r="F46" s="18"/>
      <c r="G46" s="36">
        <v>0</v>
      </c>
      <c r="H46" s="20"/>
      <c r="I46" s="46">
        <f t="shared" si="2"/>
        <v>-161</v>
      </c>
      <c r="J46" s="31"/>
      <c r="K46" s="37" t="e">
        <f>I46/SUM($E$11:E46)</f>
        <v>#DIV/0!</v>
      </c>
    </row>
    <row r="47" spans="2:11" x14ac:dyDescent="0.2">
      <c r="B47" s="39"/>
      <c r="C47" s="58"/>
      <c r="D47" s="53"/>
      <c r="E47" s="17"/>
      <c r="F47" s="18"/>
      <c r="G47" s="36">
        <v>0</v>
      </c>
      <c r="H47" s="20"/>
      <c r="I47" s="46">
        <f t="shared" si="2"/>
        <v>-161</v>
      </c>
      <c r="J47" s="31"/>
      <c r="K47" s="37" t="e">
        <f>I47/SUM($E$11:E47)</f>
        <v>#DIV/0!</v>
      </c>
    </row>
    <row r="48" spans="2:11" x14ac:dyDescent="0.2">
      <c r="B48" s="39"/>
      <c r="C48" s="58"/>
      <c r="D48" s="53"/>
      <c r="E48" s="17"/>
      <c r="F48" s="18"/>
      <c r="G48" s="36">
        <v>0</v>
      </c>
      <c r="H48" s="20"/>
      <c r="I48" s="46">
        <f t="shared" si="2"/>
        <v>-161</v>
      </c>
      <c r="J48" s="31"/>
      <c r="K48" s="37" t="e">
        <f>I48/SUM($E$11:E48)</f>
        <v>#DIV/0!</v>
      </c>
    </row>
    <row r="49" spans="2:11" x14ac:dyDescent="0.2">
      <c r="B49" s="39"/>
      <c r="C49" s="58"/>
      <c r="D49" s="53"/>
      <c r="E49" s="17"/>
      <c r="F49" s="18"/>
      <c r="G49" s="36">
        <v>0</v>
      </c>
      <c r="H49" s="20"/>
      <c r="I49" s="46">
        <f t="shared" si="2"/>
        <v>-161</v>
      </c>
      <c r="J49" s="31"/>
      <c r="K49" s="37" t="e">
        <f>I49/SUM($E$11:E49)</f>
        <v>#DIV/0!</v>
      </c>
    </row>
    <row r="50" spans="2:11" x14ac:dyDescent="0.2">
      <c r="B50" s="39"/>
      <c r="C50" s="58"/>
      <c r="D50" s="53"/>
      <c r="E50" s="17"/>
      <c r="F50" s="18"/>
      <c r="G50" s="36">
        <v>0</v>
      </c>
      <c r="H50" s="20"/>
      <c r="I50" s="46">
        <f t="shared" si="2"/>
        <v>-161</v>
      </c>
      <c r="J50" s="31"/>
      <c r="K50" s="37" t="e">
        <f>I50/SUM($E$11:E50)</f>
        <v>#DIV/0!</v>
      </c>
    </row>
    <row r="51" spans="2:11" x14ac:dyDescent="0.2">
      <c r="B51" s="39"/>
      <c r="C51" s="58"/>
      <c r="D51" s="53"/>
      <c r="E51" s="17"/>
      <c r="F51" s="18"/>
      <c r="G51" s="36">
        <v>0</v>
      </c>
      <c r="H51" s="20"/>
      <c r="I51" s="46">
        <f t="shared" si="2"/>
        <v>-161</v>
      </c>
      <c r="J51" s="31"/>
      <c r="K51" s="37" t="e">
        <f>I51/SUM($E$11:E51)</f>
        <v>#DIV/0!</v>
      </c>
    </row>
    <row r="52" spans="2:11" x14ac:dyDescent="0.2">
      <c r="B52" s="39"/>
      <c r="C52" s="58"/>
      <c r="D52" s="53"/>
      <c r="E52" s="17"/>
      <c r="F52" s="18"/>
      <c r="G52" s="36">
        <v>0</v>
      </c>
      <c r="H52" s="20"/>
      <c r="I52" s="46">
        <f t="shared" si="2"/>
        <v>-161</v>
      </c>
      <c r="J52" s="31"/>
      <c r="K52" s="37" t="e">
        <f>I52/SUM($E$11:E52)</f>
        <v>#DIV/0!</v>
      </c>
    </row>
    <row r="53" spans="2:11" x14ac:dyDescent="0.2">
      <c r="B53" s="39"/>
      <c r="C53" s="58"/>
      <c r="D53" s="53"/>
      <c r="E53" s="17"/>
      <c r="F53" s="18"/>
      <c r="G53" s="36">
        <v>0</v>
      </c>
      <c r="H53" s="20"/>
      <c r="I53" s="46">
        <f t="shared" si="2"/>
        <v>-161</v>
      </c>
      <c r="J53" s="31"/>
      <c r="K53" s="37" t="e">
        <f>I53/SUM($E$11:E53)</f>
        <v>#DIV/0!</v>
      </c>
    </row>
    <row r="54" spans="2:11" x14ac:dyDescent="0.2">
      <c r="B54" s="39"/>
      <c r="C54" s="58"/>
      <c r="D54" s="53"/>
      <c r="E54" s="17"/>
      <c r="F54" s="18"/>
      <c r="G54" s="36">
        <v>0</v>
      </c>
      <c r="H54" s="20"/>
      <c r="I54" s="46">
        <f t="shared" si="2"/>
        <v>-161</v>
      </c>
      <c r="J54" s="31"/>
      <c r="K54" s="37" t="e">
        <f>I54/SUM($E$11:E54)</f>
        <v>#DIV/0!</v>
      </c>
    </row>
    <row r="55" spans="2:11" x14ac:dyDescent="0.2">
      <c r="B55" s="39"/>
      <c r="C55" s="58"/>
      <c r="D55" s="53"/>
      <c r="E55" s="17"/>
      <c r="F55" s="18"/>
      <c r="G55" s="36">
        <v>0</v>
      </c>
      <c r="H55" s="20"/>
      <c r="I55" s="46">
        <f t="shared" si="2"/>
        <v>-161</v>
      </c>
      <c r="J55" s="31"/>
      <c r="K55" s="37" t="e">
        <f>I55/SUM($E$11:E55)</f>
        <v>#DIV/0!</v>
      </c>
    </row>
    <row r="56" spans="2:11" x14ac:dyDescent="0.2">
      <c r="B56" s="39"/>
      <c r="C56" s="58"/>
      <c r="D56" s="53"/>
      <c r="E56" s="17"/>
      <c r="F56" s="18"/>
      <c r="G56" s="36">
        <v>0</v>
      </c>
      <c r="H56" s="20"/>
      <c r="I56" s="46">
        <f t="shared" si="2"/>
        <v>-161</v>
      </c>
      <c r="J56" s="31"/>
      <c r="K56" s="37" t="e">
        <f>I56/SUM($E$11:E56)</f>
        <v>#DIV/0!</v>
      </c>
    </row>
    <row r="57" spans="2:11" x14ac:dyDescent="0.2">
      <c r="B57" s="39"/>
      <c r="C57" s="58"/>
      <c r="D57" s="53"/>
      <c r="E57" s="17"/>
      <c r="F57" s="18"/>
      <c r="G57" s="36">
        <v>0</v>
      </c>
      <c r="H57" s="20"/>
      <c r="I57" s="46">
        <f t="shared" si="2"/>
        <v>-161</v>
      </c>
      <c r="J57" s="31"/>
      <c r="K57" s="37" t="e">
        <f>I57/SUM($E$11:E57)</f>
        <v>#DIV/0!</v>
      </c>
    </row>
    <row r="58" spans="2:11" x14ac:dyDescent="0.2">
      <c r="B58" s="39"/>
      <c r="C58" s="58"/>
      <c r="D58" s="53"/>
      <c r="E58" s="17"/>
      <c r="F58" s="18"/>
      <c r="G58" s="36">
        <v>0</v>
      </c>
      <c r="H58" s="20"/>
      <c r="I58" s="46">
        <f t="shared" si="2"/>
        <v>-161</v>
      </c>
      <c r="J58" s="31"/>
      <c r="K58" s="37" t="e">
        <f>I58/SUM($E$11:E58)</f>
        <v>#DIV/0!</v>
      </c>
    </row>
    <row r="59" spans="2:11" x14ac:dyDescent="0.2">
      <c r="B59" s="39"/>
      <c r="C59" s="58"/>
      <c r="D59" s="53"/>
      <c r="E59" s="17"/>
      <c r="F59" s="18"/>
      <c r="G59" s="36">
        <v>0</v>
      </c>
      <c r="H59" s="20"/>
      <c r="I59" s="46">
        <f t="shared" si="2"/>
        <v>-161</v>
      </c>
      <c r="J59" s="31"/>
      <c r="K59" s="37" t="e">
        <f>I59/SUM($E$11:E59)</f>
        <v>#DIV/0!</v>
      </c>
    </row>
    <row r="60" spans="2:11" x14ac:dyDescent="0.2">
      <c r="B60" s="39"/>
      <c r="C60" s="58"/>
      <c r="D60" s="53"/>
      <c r="E60" s="17"/>
      <c r="F60" s="18"/>
      <c r="G60" s="36">
        <v>0</v>
      </c>
      <c r="H60" s="20"/>
      <c r="I60" s="46">
        <f t="shared" si="2"/>
        <v>-161</v>
      </c>
      <c r="J60" s="31"/>
      <c r="K60" s="37" t="e">
        <f>I60/SUM($E$11:E60)</f>
        <v>#DIV/0!</v>
      </c>
    </row>
    <row r="61" spans="2:11" x14ac:dyDescent="0.2">
      <c r="B61" s="39"/>
      <c r="C61" s="58"/>
      <c r="D61" s="53"/>
      <c r="E61" s="17"/>
      <c r="F61" s="18"/>
      <c r="G61" s="36">
        <v>0</v>
      </c>
      <c r="H61" s="20"/>
      <c r="I61" s="46">
        <f t="shared" si="2"/>
        <v>-161</v>
      </c>
      <c r="J61" s="31"/>
      <c r="K61" s="37" t="e">
        <f>I61/SUM($E$11:E61)</f>
        <v>#DIV/0!</v>
      </c>
    </row>
    <row r="62" spans="2:11" x14ac:dyDescent="0.2">
      <c r="B62" s="39"/>
      <c r="C62" s="58"/>
      <c r="D62" s="53"/>
      <c r="E62" s="17"/>
      <c r="F62" s="18"/>
      <c r="G62" s="36">
        <v>0</v>
      </c>
      <c r="H62" s="20"/>
      <c r="I62" s="46">
        <f t="shared" si="2"/>
        <v>-161</v>
      </c>
      <c r="J62" s="31"/>
      <c r="K62" s="37" t="e">
        <f>I62/SUM($E$11:E62)</f>
        <v>#DIV/0!</v>
      </c>
    </row>
    <row r="63" spans="2:11" x14ac:dyDescent="0.2">
      <c r="B63" s="39"/>
      <c r="C63" s="58"/>
      <c r="D63" s="53"/>
      <c r="E63" s="17"/>
      <c r="F63" s="18"/>
      <c r="G63" s="36">
        <v>0</v>
      </c>
      <c r="H63" s="20"/>
      <c r="I63" s="46">
        <f t="shared" si="2"/>
        <v>-161</v>
      </c>
      <c r="J63" s="31"/>
      <c r="K63" s="37" t="e">
        <f>I63/SUM($E$11:E63)</f>
        <v>#DIV/0!</v>
      </c>
    </row>
    <row r="64" spans="2:11" x14ac:dyDescent="0.2">
      <c r="B64" s="39"/>
      <c r="C64" s="58"/>
      <c r="D64" s="53"/>
      <c r="E64" s="17"/>
      <c r="F64" s="18"/>
      <c r="G64" s="36">
        <v>0</v>
      </c>
      <c r="H64" s="20"/>
      <c r="I64" s="46">
        <f t="shared" si="2"/>
        <v>-161</v>
      </c>
      <c r="J64" s="31"/>
      <c r="K64" s="37" t="e">
        <f>I64/SUM($E$11:E64)</f>
        <v>#DIV/0!</v>
      </c>
    </row>
    <row r="65" spans="2:11" x14ac:dyDescent="0.2">
      <c r="B65" s="39"/>
      <c r="C65" s="58"/>
      <c r="D65" s="53"/>
      <c r="E65" s="17"/>
      <c r="F65" s="18"/>
      <c r="G65" s="36">
        <v>0</v>
      </c>
      <c r="H65" s="20"/>
      <c r="I65" s="46">
        <f t="shared" si="2"/>
        <v>-161</v>
      </c>
      <c r="J65" s="31"/>
      <c r="K65" s="37" t="e">
        <f>I65/SUM($E$11:E65)</f>
        <v>#DIV/0!</v>
      </c>
    </row>
    <row r="66" spans="2:11" x14ac:dyDescent="0.2">
      <c r="B66" s="39"/>
      <c r="C66" s="58"/>
      <c r="D66" s="53"/>
      <c r="E66" s="17"/>
      <c r="F66" s="18"/>
      <c r="G66" s="36">
        <v>0</v>
      </c>
      <c r="H66" s="20"/>
      <c r="I66" s="46">
        <f t="shared" si="2"/>
        <v>-161</v>
      </c>
      <c r="J66" s="31"/>
      <c r="K66" s="37" t="e">
        <f>I66/SUM($E$11:E66)</f>
        <v>#DIV/0!</v>
      </c>
    </row>
    <row r="67" spans="2:11" x14ac:dyDescent="0.2">
      <c r="B67" s="39"/>
      <c r="C67" s="58"/>
      <c r="D67" s="53"/>
      <c r="E67" s="17"/>
      <c r="F67" s="18"/>
      <c r="G67" s="36">
        <v>0</v>
      </c>
      <c r="H67" s="20"/>
      <c r="I67" s="46">
        <f t="shared" si="2"/>
        <v>-161</v>
      </c>
      <c r="J67" s="31"/>
      <c r="K67" s="37" t="e">
        <f>I67/SUM($E$11:E67)</f>
        <v>#DIV/0!</v>
      </c>
    </row>
    <row r="68" spans="2:11" x14ac:dyDescent="0.2">
      <c r="B68" s="39"/>
      <c r="C68" s="58"/>
      <c r="D68" s="53"/>
      <c r="E68" s="17"/>
      <c r="F68" s="18"/>
      <c r="G68" s="36">
        <v>0</v>
      </c>
      <c r="H68" s="20"/>
      <c r="I68" s="46">
        <f t="shared" si="2"/>
        <v>-161</v>
      </c>
      <c r="J68" s="31"/>
      <c r="K68" s="37" t="e">
        <f>I68/SUM($E$11:E68)</f>
        <v>#DIV/0!</v>
      </c>
    </row>
    <row r="69" spans="2:11" x14ac:dyDescent="0.2">
      <c r="B69" s="39"/>
      <c r="C69" s="58"/>
      <c r="D69" s="53"/>
      <c r="E69" s="17"/>
      <c r="F69" s="18"/>
      <c r="G69" s="36">
        <v>0</v>
      </c>
      <c r="H69" s="20"/>
      <c r="I69" s="46">
        <f t="shared" si="2"/>
        <v>-161</v>
      </c>
      <c r="J69" s="31"/>
      <c r="K69" s="37" t="e">
        <f>I69/SUM($E$11:E69)</f>
        <v>#DIV/0!</v>
      </c>
    </row>
    <row r="70" spans="2:11" x14ac:dyDescent="0.2">
      <c r="B70" s="39"/>
      <c r="C70" s="58"/>
      <c r="D70" s="53"/>
      <c r="E70" s="17"/>
      <c r="F70" s="18"/>
      <c r="G70" s="36">
        <v>0</v>
      </c>
      <c r="H70" s="20"/>
      <c r="I70" s="46">
        <f t="shared" si="2"/>
        <v>-161</v>
      </c>
      <c r="J70" s="31"/>
      <c r="K70" s="37" t="e">
        <f>I70/SUM($E$11:E70)</f>
        <v>#DIV/0!</v>
      </c>
    </row>
    <row r="71" spans="2:11" x14ac:dyDescent="0.2">
      <c r="B71" s="39"/>
      <c r="C71" s="58"/>
      <c r="D71" s="53"/>
      <c r="E71" s="17"/>
      <c r="F71" s="18"/>
      <c r="G71" s="36">
        <v>0</v>
      </c>
      <c r="H71" s="20"/>
      <c r="I71" s="46">
        <f t="shared" si="2"/>
        <v>-161</v>
      </c>
      <c r="J71" s="31"/>
      <c r="K71" s="37" t="e">
        <f>I71/SUM($E$11:E71)</f>
        <v>#DIV/0!</v>
      </c>
    </row>
    <row r="72" spans="2:11" x14ac:dyDescent="0.2">
      <c r="B72" s="39"/>
      <c r="C72" s="58"/>
      <c r="D72" s="53"/>
      <c r="E72" s="17"/>
      <c r="F72" s="18"/>
      <c r="G72" s="36">
        <v>0</v>
      </c>
      <c r="H72" s="20"/>
      <c r="I72" s="46">
        <f t="shared" si="2"/>
        <v>-161</v>
      </c>
      <c r="J72" s="31"/>
      <c r="K72" s="37" t="e">
        <f>I72/SUM($E$11:E72)</f>
        <v>#DIV/0!</v>
      </c>
    </row>
    <row r="73" spans="2:11" x14ac:dyDescent="0.2">
      <c r="B73" s="39"/>
      <c r="C73" s="58"/>
      <c r="D73" s="53"/>
      <c r="E73" s="17"/>
      <c r="F73" s="18"/>
      <c r="G73" s="36">
        <v>0</v>
      </c>
      <c r="H73" s="20"/>
      <c r="I73" s="46">
        <f t="shared" si="2"/>
        <v>-161</v>
      </c>
      <c r="J73" s="31"/>
      <c r="K73" s="37" t="e">
        <f>I73/SUM($E$11:E73)</f>
        <v>#DIV/0!</v>
      </c>
    </row>
    <row r="74" spans="2:11" x14ac:dyDescent="0.2">
      <c r="B74" s="39"/>
      <c r="C74" s="58"/>
      <c r="D74" s="53"/>
      <c r="E74" s="17"/>
      <c r="F74" s="18"/>
      <c r="G74" s="36">
        <v>0</v>
      </c>
      <c r="H74" s="20"/>
      <c r="I74" s="46">
        <f t="shared" si="2"/>
        <v>-161</v>
      </c>
      <c r="J74" s="31"/>
      <c r="K74" s="37" t="e">
        <f>I74/SUM($E$11:E74)</f>
        <v>#DIV/0!</v>
      </c>
    </row>
    <row r="75" spans="2:11" x14ac:dyDescent="0.2">
      <c r="B75" s="39"/>
      <c r="C75" s="58"/>
      <c r="D75" s="53"/>
      <c r="E75" s="17"/>
      <c r="F75" s="18"/>
      <c r="G75" s="36">
        <v>0</v>
      </c>
      <c r="H75" s="20"/>
      <c r="I75" s="46">
        <f t="shared" si="2"/>
        <v>-161</v>
      </c>
      <c r="J75" s="31"/>
      <c r="K75" s="37" t="e">
        <f>I75/SUM($E$11:E75)</f>
        <v>#DIV/0!</v>
      </c>
    </row>
    <row r="76" spans="2:11" x14ac:dyDescent="0.2">
      <c r="B76" s="39"/>
      <c r="C76" s="58"/>
      <c r="D76" s="53"/>
      <c r="E76" s="17"/>
      <c r="F76" s="18"/>
      <c r="G76" s="36">
        <v>0</v>
      </c>
      <c r="H76" s="20"/>
      <c r="I76" s="46">
        <f t="shared" si="2"/>
        <v>-161</v>
      </c>
      <c r="J76" s="31"/>
      <c r="K76" s="37" t="e">
        <f>I76/SUM($E$11:E76)</f>
        <v>#DIV/0!</v>
      </c>
    </row>
    <row r="77" spans="2:11" x14ac:dyDescent="0.2">
      <c r="B77" s="39"/>
      <c r="C77" s="58"/>
      <c r="D77" s="53"/>
      <c r="E77" s="17"/>
      <c r="F77" s="18"/>
      <c r="G77" s="36">
        <v>0</v>
      </c>
      <c r="H77" s="20"/>
      <c r="I77" s="46">
        <f t="shared" si="2"/>
        <v>-161</v>
      </c>
      <c r="J77" s="31"/>
      <c r="K77" s="37" t="e">
        <f>I77/SUM($E$11:E77)</f>
        <v>#DIV/0!</v>
      </c>
    </row>
    <row r="78" spans="2:11" x14ac:dyDescent="0.2">
      <c r="B78" s="39"/>
      <c r="C78" s="58"/>
      <c r="D78" s="53"/>
      <c r="E78" s="17"/>
      <c r="F78" s="18"/>
      <c r="G78" s="36">
        <v>0</v>
      </c>
      <c r="H78" s="20"/>
      <c r="I78" s="46">
        <f>I49+G78</f>
        <v>-161</v>
      </c>
      <c r="J78" s="31"/>
      <c r="K78" s="37" t="e">
        <f>I78/SUM($E$11:E78)</f>
        <v>#DIV/0!</v>
      </c>
    </row>
    <row r="79" spans="2:11" x14ac:dyDescent="0.2">
      <c r="B79" s="39"/>
      <c r="C79" s="58"/>
      <c r="D79" s="53"/>
      <c r="E79" s="17"/>
      <c r="F79" s="18"/>
      <c r="G79" s="36">
        <v>0</v>
      </c>
      <c r="H79" s="20"/>
      <c r="I79" s="46">
        <f t="shared" si="2"/>
        <v>-161</v>
      </c>
      <c r="J79" s="31"/>
      <c r="K79" s="37" t="e">
        <f>I79/SUM($E$11:E79)</f>
        <v>#DIV/0!</v>
      </c>
    </row>
    <row r="80" spans="2:11" x14ac:dyDescent="0.2">
      <c r="B80" s="39"/>
      <c r="C80" s="58"/>
      <c r="D80" s="53"/>
      <c r="E80" s="17"/>
      <c r="F80" s="18"/>
      <c r="G80" s="36">
        <v>0</v>
      </c>
      <c r="H80" s="20"/>
      <c r="I80" s="46">
        <f t="shared" si="2"/>
        <v>-161</v>
      </c>
      <c r="J80" s="31"/>
      <c r="K80" s="37" t="e">
        <f>I80/SUM($E$11:E80)</f>
        <v>#DIV/0!</v>
      </c>
    </row>
    <row r="81" spans="2:11" x14ac:dyDescent="0.2">
      <c r="B81" s="39"/>
      <c r="C81" s="58"/>
      <c r="D81" s="53"/>
      <c r="E81" s="17"/>
      <c r="F81" s="18"/>
      <c r="G81" s="36">
        <v>0</v>
      </c>
      <c r="H81" s="20"/>
      <c r="I81" s="46">
        <f t="shared" si="2"/>
        <v>-161</v>
      </c>
      <c r="J81" s="31"/>
      <c r="K81" s="37" t="e">
        <f>I81/SUM($E$11:E81)</f>
        <v>#DIV/0!</v>
      </c>
    </row>
    <row r="82" spans="2:11" x14ac:dyDescent="0.2">
      <c r="B82" s="39"/>
      <c r="C82" s="58"/>
      <c r="D82" s="53"/>
      <c r="E82" s="17"/>
      <c r="F82" s="18"/>
      <c r="G82" s="36">
        <v>0</v>
      </c>
      <c r="H82" s="20"/>
      <c r="I82" s="46">
        <f t="shared" si="2"/>
        <v>-161</v>
      </c>
      <c r="J82" s="31"/>
      <c r="K82" s="37" t="e">
        <f>I82/SUM($E$11:E82)</f>
        <v>#DIV/0!</v>
      </c>
    </row>
    <row r="83" spans="2:11" x14ac:dyDescent="0.2">
      <c r="B83" s="39"/>
      <c r="C83" s="58"/>
      <c r="D83" s="53"/>
      <c r="E83" s="17"/>
      <c r="F83" s="18"/>
      <c r="G83" s="36">
        <v>0</v>
      </c>
      <c r="H83" s="20"/>
      <c r="I83" s="46">
        <f t="shared" si="2"/>
        <v>-161</v>
      </c>
      <c r="J83" s="31"/>
      <c r="K83" s="37" t="e">
        <f>I83/SUM($E$11:E83)</f>
        <v>#DIV/0!</v>
      </c>
    </row>
    <row r="84" spans="2:11" x14ac:dyDescent="0.2">
      <c r="B84" s="39"/>
      <c r="C84" s="58"/>
      <c r="D84" s="53"/>
      <c r="E84" s="17"/>
      <c r="F84" s="18"/>
      <c r="G84" s="36">
        <v>0</v>
      </c>
      <c r="H84" s="20"/>
      <c r="I84" s="46">
        <f t="shared" si="2"/>
        <v>-161</v>
      </c>
      <c r="J84" s="31"/>
      <c r="K84" s="37" t="e">
        <f>I84/SUM($E$11:E84)</f>
        <v>#DIV/0!</v>
      </c>
    </row>
    <row r="85" spans="2:11" ht="19" x14ac:dyDescent="0.25">
      <c r="B85" s="39"/>
      <c r="C85" s="58"/>
      <c r="D85" s="53"/>
      <c r="E85" s="129"/>
      <c r="F85" s="24"/>
      <c r="G85" s="25">
        <f>SUM(G28:G84)</f>
        <v>-161</v>
      </c>
      <c r="H85" s="20"/>
      <c r="I85" s="19"/>
      <c r="J85" s="31"/>
      <c r="K85" s="25">
        <f>I85/3400</f>
        <v>0</v>
      </c>
    </row>
    <row r="86" spans="2:11" ht="4.75" customHeight="1" x14ac:dyDescent="0.2">
      <c r="B86" s="39"/>
      <c r="C86" s="58"/>
      <c r="D86" s="53"/>
      <c r="E86" s="17"/>
      <c r="F86" s="18"/>
      <c r="G86" s="19"/>
      <c r="H86" s="20"/>
      <c r="I86" s="20"/>
      <c r="J86" s="31"/>
      <c r="K86" s="17"/>
    </row>
    <row r="87" spans="2:11" ht="14.5" customHeight="1" x14ac:dyDescent="0.2">
      <c r="B87" s="39"/>
      <c r="C87" s="58"/>
      <c r="D87" s="53"/>
      <c r="H87" s="20"/>
      <c r="I87" s="20"/>
      <c r="J87" s="31"/>
      <c r="K87" s="17"/>
    </row>
    <row r="88" spans="2:11" x14ac:dyDescent="0.2">
      <c r="D88" s="45"/>
    </row>
    <row r="89" spans="2:11" x14ac:dyDescent="0.2">
      <c r="D89" s="45"/>
    </row>
    <row r="90" spans="2:11" x14ac:dyDescent="0.2">
      <c r="D90" s="45"/>
    </row>
    <row r="91" spans="2:11" x14ac:dyDescent="0.2">
      <c r="D91" s="45"/>
    </row>
  </sheetData>
  <mergeCells count="1">
    <mergeCell ref="B8:G8"/>
  </mergeCells>
  <conditionalFormatting sqref="B28:B84">
    <cfRule type="expression" dxfId="301" priority="1" stopIfTrue="1">
      <formula>J28="ROLL"</formula>
    </cfRule>
    <cfRule type="expression" dxfId="300" priority="2" stopIfTrue="1">
      <formula>AND(ISNUMBER(SEARCH("call", B28)), J28="expired")</formula>
    </cfRule>
    <cfRule type="expression" dxfId="299" priority="3" stopIfTrue="1">
      <formula>AND(ISNUMBER(SEARCH("call", B28)), J28="assigned")</formula>
    </cfRule>
    <cfRule type="expression" dxfId="298" priority="4" stopIfTrue="1">
      <formula>J28="assigned"</formula>
    </cfRule>
    <cfRule type="expression" dxfId="297" priority="5">
      <formula>J28="expired"</formula>
    </cfRule>
  </conditionalFormatting>
  <pageMargins left="0.7" right="0.7" top="0.75" bottom="0.75" header="0.3" footer="0.3"/>
  <pageSetup paperSize="0" orientation="portrait" r:id="rId1"/>
</worksheet>
</file>

<file path=xl/worksheets/sheet2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0CC7-D061-C24A-AEE5-E40D26095D18}">
  <sheetPr codeName="Sheet8"/>
  <dimension ref="B1:K91"/>
  <sheetViews>
    <sheetView zoomScale="110" zoomScaleNormal="110" workbookViewId="0">
      <pane xSplit="1" ySplit="10" topLeftCell="B22" activePane="bottomRight" state="frozen"/>
      <selection activeCell="F3" sqref="F3"/>
      <selection pane="topRight" activeCell="F3" sqref="F3"/>
      <selection pane="bottomLeft" activeCell="F3" sqref="F3"/>
      <selection pane="bottomRight" activeCell="G28" sqref="G28"/>
    </sheetView>
  </sheetViews>
  <sheetFormatPr baseColWidth="10" defaultColWidth="8.83203125" defaultRowHeight="15" x14ac:dyDescent="0.2"/>
  <cols>
    <col min="1" max="1" width="6" customWidth="1"/>
    <col min="2" max="2" width="34.83203125" style="29" customWidth="1"/>
    <col min="3" max="3" width="8.83203125" style="55" bestFit="1" customWidth="1"/>
    <col min="4" max="4" width="6.6640625" customWidth="1"/>
    <col min="5" max="5" width="7.33203125" bestFit="1" customWidth="1"/>
    <col min="6" max="6" width="9.1640625" bestFit="1" customWidth="1"/>
    <col min="7" max="7" width="10.6640625" bestFit="1" customWidth="1"/>
    <col min="8" max="8" width="2.5" customWidth="1"/>
    <col min="9" max="9" width="13" customWidth="1"/>
    <col min="10" max="10" width="24" style="29" customWidth="1"/>
    <col min="11" max="11" width="8.6640625" style="2" customWidth="1"/>
  </cols>
  <sheetData>
    <row r="1" spans="2:11" ht="17" x14ac:dyDescent="0.2">
      <c r="B1" s="38" t="s">
        <v>60</v>
      </c>
    </row>
    <row r="2" spans="2:11" x14ac:dyDescent="0.2">
      <c r="B2" s="39"/>
      <c r="C2" s="56"/>
      <c r="D2" s="2"/>
      <c r="E2" s="2"/>
      <c r="F2" s="3"/>
      <c r="G2" s="4"/>
    </row>
    <row r="3" spans="2:11" ht="19" x14ac:dyDescent="0.25">
      <c r="B3" s="40"/>
      <c r="C3" s="57"/>
      <c r="D3" s="6"/>
      <c r="E3" s="6"/>
      <c r="F3" s="7" t="s">
        <v>0</v>
      </c>
      <c r="G3" s="8">
        <f>IF(ISERROR(SUM(G25,G85)/G4),SUM(G25,G85),SUM(G25,G85)/G4)</f>
        <v>-14</v>
      </c>
      <c r="I3" t="s">
        <v>1</v>
      </c>
      <c r="J3" s="30">
        <v>51.6</v>
      </c>
      <c r="K3" s="6"/>
    </row>
    <row r="4" spans="2:11" x14ac:dyDescent="0.2">
      <c r="B4" s="41"/>
      <c r="C4" s="56"/>
      <c r="D4" s="2"/>
      <c r="E4" s="2"/>
      <c r="F4" s="3" t="s">
        <v>2</v>
      </c>
      <c r="G4" s="9">
        <f>SUM(E11:E154)</f>
        <v>0</v>
      </c>
    </row>
    <row r="5" spans="2:11" x14ac:dyDescent="0.2">
      <c r="C5" s="56"/>
      <c r="D5" s="2"/>
      <c r="E5" s="2"/>
      <c r="F5" s="3"/>
      <c r="G5" s="4"/>
    </row>
    <row r="6" spans="2:11" x14ac:dyDescent="0.2">
      <c r="C6" s="58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39"/>
      <c r="C7" s="58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ht="16" x14ac:dyDescent="0.2">
      <c r="B9" s="42" t="s">
        <v>11</v>
      </c>
      <c r="C9" s="59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42"/>
      <c r="C10" s="59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39"/>
      <c r="C11" s="58"/>
      <c r="D11" s="16"/>
      <c r="E11" s="17"/>
      <c r="F11" s="35">
        <v>18.5</v>
      </c>
      <c r="G11" s="36">
        <f>E11*F11</f>
        <v>0</v>
      </c>
      <c r="H11" s="20"/>
      <c r="I11" s="36">
        <f>G11</f>
        <v>0</v>
      </c>
      <c r="J11" s="31"/>
      <c r="K11" s="34">
        <f>IF(ISERROR(I11/$G$4),0,I11/SUM($E$11:E11))</f>
        <v>0</v>
      </c>
    </row>
    <row r="12" spans="2:11" x14ac:dyDescent="0.2">
      <c r="B12" s="39"/>
      <c r="C12" s="58"/>
      <c r="D12" s="16"/>
      <c r="E12" s="17"/>
      <c r="F12" s="35"/>
      <c r="G12" s="36">
        <f>E12*F12</f>
        <v>0</v>
      </c>
      <c r="H12" s="20"/>
      <c r="I12" s="36">
        <f>I11+G12</f>
        <v>0</v>
      </c>
      <c r="J12" s="31"/>
      <c r="K12" s="34">
        <f>IF(ISERROR(I12/$G$4),0,I12/SUM($E$11:E12))</f>
        <v>0</v>
      </c>
    </row>
    <row r="13" spans="2:11" x14ac:dyDescent="0.2">
      <c r="B13" s="39"/>
      <c r="C13" s="58"/>
      <c r="D13" s="16"/>
      <c r="E13" s="17"/>
      <c r="F13" s="35"/>
      <c r="G13" s="36">
        <f>E13*F13</f>
        <v>0</v>
      </c>
      <c r="H13" s="20"/>
      <c r="I13" s="36">
        <f>I12+G13</f>
        <v>0</v>
      </c>
      <c r="J13" s="31"/>
      <c r="K13" s="34">
        <f>IF(ISERROR(I13/$G$4),0,I13/SUM($E$11:E13))</f>
        <v>0</v>
      </c>
    </row>
    <row r="14" spans="2:11" x14ac:dyDescent="0.2">
      <c r="B14" s="39"/>
      <c r="C14" s="58"/>
      <c r="D14" s="16"/>
      <c r="E14" s="17"/>
      <c r="F14" s="35"/>
      <c r="G14" s="36">
        <v>0</v>
      </c>
      <c r="H14" s="20"/>
      <c r="I14" s="36">
        <f>I13+G14</f>
        <v>0</v>
      </c>
      <c r="J14" s="31"/>
      <c r="K14" s="34">
        <f>IF(ISERROR(I14/$G$4),0,I14/SUM($E$11:E14))</f>
        <v>0</v>
      </c>
    </row>
    <row r="15" spans="2:11" x14ac:dyDescent="0.2">
      <c r="B15" s="39"/>
      <c r="C15" s="58"/>
      <c r="D15" s="16"/>
      <c r="E15" s="17"/>
      <c r="F15" s="35"/>
      <c r="G15" s="36">
        <f>E15*F15</f>
        <v>0</v>
      </c>
      <c r="H15" s="20"/>
      <c r="I15" s="36">
        <f>I13+G15</f>
        <v>0</v>
      </c>
      <c r="J15" s="31"/>
      <c r="K15" s="34">
        <f>IF(ISERROR(I15/$G$4),0,I15/SUM($E$11:E15))</f>
        <v>0</v>
      </c>
    </row>
    <row r="16" spans="2:11" x14ac:dyDescent="0.2">
      <c r="B16" s="39"/>
      <c r="C16" s="58"/>
      <c r="D16" s="16"/>
      <c r="E16" s="17"/>
      <c r="F16" s="35"/>
      <c r="G16" s="36">
        <f t="shared" ref="G16:G23" si="0">E16*F16</f>
        <v>0</v>
      </c>
      <c r="H16" s="20"/>
      <c r="I16" s="36">
        <f t="shared" ref="I16:I23" si="1">I15+G16</f>
        <v>0</v>
      </c>
      <c r="J16" s="31"/>
      <c r="K16" s="34">
        <f>IF(ISERROR(I16/$G$4),0,I16/SUM($E$11:E16))</f>
        <v>0</v>
      </c>
    </row>
    <row r="17" spans="2:11" ht="17" customHeight="1" x14ac:dyDescent="0.2">
      <c r="B17" s="39"/>
      <c r="C17" s="58"/>
      <c r="D17" s="16"/>
      <c r="E17" s="17"/>
      <c r="F17" s="35"/>
      <c r="G17" s="36">
        <f t="shared" si="0"/>
        <v>0</v>
      </c>
      <c r="H17" s="20"/>
      <c r="I17" s="36">
        <f t="shared" si="1"/>
        <v>0</v>
      </c>
      <c r="J17" s="31"/>
      <c r="K17" s="34">
        <f>IF(ISERROR(I17/$G$4),0,I17/SUM($E$11:E17))</f>
        <v>0</v>
      </c>
    </row>
    <row r="18" spans="2:11" ht="15" customHeight="1" x14ac:dyDescent="0.2">
      <c r="B18" s="39"/>
      <c r="C18" s="58"/>
      <c r="D18" s="16"/>
      <c r="E18" s="17"/>
      <c r="F18" s="35"/>
      <c r="G18" s="36">
        <f t="shared" si="0"/>
        <v>0</v>
      </c>
      <c r="H18" s="20"/>
      <c r="I18" s="36">
        <f t="shared" si="1"/>
        <v>0</v>
      </c>
      <c r="J18" s="31"/>
      <c r="K18" s="34">
        <f>IF(ISERROR(I18/$G$4),0,I18/SUM($E$11:E18))</f>
        <v>0</v>
      </c>
    </row>
    <row r="19" spans="2:11" x14ac:dyDescent="0.2">
      <c r="B19" s="39"/>
      <c r="C19" s="58"/>
      <c r="D19" s="16"/>
      <c r="E19" s="17"/>
      <c r="F19" s="35"/>
      <c r="G19" s="36">
        <f t="shared" si="0"/>
        <v>0</v>
      </c>
      <c r="H19" s="20"/>
      <c r="I19" s="36">
        <f t="shared" si="1"/>
        <v>0</v>
      </c>
      <c r="J19" s="31"/>
      <c r="K19" s="34">
        <f>IF(ISERROR(I19/$G$4),0,I19/SUM($E$11:E19))</f>
        <v>0</v>
      </c>
    </row>
    <row r="20" spans="2:11" x14ac:dyDescent="0.2">
      <c r="B20" s="39"/>
      <c r="C20" s="58"/>
      <c r="D20" s="16"/>
      <c r="E20" s="17"/>
      <c r="F20" s="35"/>
      <c r="G20" s="36">
        <f t="shared" si="0"/>
        <v>0</v>
      </c>
      <c r="H20" s="20"/>
      <c r="I20" s="36">
        <f t="shared" si="1"/>
        <v>0</v>
      </c>
      <c r="J20" s="31"/>
      <c r="K20" s="34">
        <f>IF(ISERROR(I20/$G$4),0,I20/SUM($E$11:E20))</f>
        <v>0</v>
      </c>
    </row>
    <row r="21" spans="2:11" x14ac:dyDescent="0.2">
      <c r="B21" s="39"/>
      <c r="C21" s="58"/>
      <c r="D21" s="16"/>
      <c r="E21" s="17"/>
      <c r="F21" s="35"/>
      <c r="G21" s="36">
        <f t="shared" si="0"/>
        <v>0</v>
      </c>
      <c r="H21" s="20"/>
      <c r="I21" s="36">
        <f t="shared" si="1"/>
        <v>0</v>
      </c>
      <c r="J21" s="31"/>
      <c r="K21" s="34">
        <f>IF(ISERROR(I21/$G$4),0,I21/SUM($E$11:E21))</f>
        <v>0</v>
      </c>
    </row>
    <row r="22" spans="2:11" x14ac:dyDescent="0.2">
      <c r="B22" s="39"/>
      <c r="C22" s="58"/>
      <c r="D22" s="16"/>
      <c r="E22" s="17"/>
      <c r="F22" s="35"/>
      <c r="G22" s="36">
        <f t="shared" si="0"/>
        <v>0</v>
      </c>
      <c r="H22" s="20"/>
      <c r="I22" s="36">
        <f t="shared" si="1"/>
        <v>0</v>
      </c>
      <c r="J22" s="31"/>
      <c r="K22" s="34">
        <f>IF(ISERROR(I22/$G$4),0,I22/SUM($E$11:E22))</f>
        <v>0</v>
      </c>
    </row>
    <row r="23" spans="2:11" x14ac:dyDescent="0.2">
      <c r="B23" s="39"/>
      <c r="C23" s="58"/>
      <c r="D23" s="16"/>
      <c r="E23" s="17"/>
      <c r="F23" s="35"/>
      <c r="G23" s="36">
        <f t="shared" si="0"/>
        <v>0</v>
      </c>
      <c r="H23" s="20"/>
      <c r="I23" s="36">
        <f t="shared" si="1"/>
        <v>0</v>
      </c>
      <c r="J23" s="31"/>
      <c r="K23" s="34">
        <f>IF(ISERROR(I23/$G$4),0,I23/SUM($E$11:E23))</f>
        <v>0</v>
      </c>
    </row>
    <row r="24" spans="2:11" x14ac:dyDescent="0.2">
      <c r="B24" s="39"/>
      <c r="C24" s="58"/>
      <c r="D24" s="16"/>
      <c r="E24" s="17"/>
      <c r="F24" s="35"/>
      <c r="G24" s="36">
        <f>E24*F24</f>
        <v>0</v>
      </c>
      <c r="H24" s="20"/>
      <c r="I24" s="36">
        <f>I15+G24</f>
        <v>0</v>
      </c>
      <c r="J24" s="31"/>
      <c r="K24" s="34">
        <f>IF(ISERROR(I24/$G$4),0,I24/SUM($E$11:E24))</f>
        <v>0</v>
      </c>
    </row>
    <row r="25" spans="2:11" ht="19" x14ac:dyDescent="0.25">
      <c r="G25" s="25">
        <f>SUM(G11:G24)</f>
        <v>0</v>
      </c>
      <c r="H25" s="20"/>
      <c r="I25" s="19"/>
      <c r="J25" s="31"/>
      <c r="K25" s="25" t="e">
        <f>SUM(G11:G24)/SUM(E11:E24)</f>
        <v>#DIV/0!</v>
      </c>
    </row>
    <row r="26" spans="2:11" ht="6" customHeight="1" x14ac:dyDescent="0.2">
      <c r="B26" s="47"/>
      <c r="C26" s="60"/>
      <c r="D26" s="48"/>
      <c r="E26" s="48"/>
      <c r="F26" s="49"/>
      <c r="G26" s="50"/>
      <c r="H26" s="51"/>
      <c r="I26" s="51"/>
      <c r="J26" s="52"/>
      <c r="K26" s="48"/>
    </row>
    <row r="27" spans="2:11" ht="6.5" customHeight="1" x14ac:dyDescent="0.2">
      <c r="B27" s="47"/>
      <c r="C27" s="60"/>
      <c r="D27" s="48"/>
      <c r="E27" s="48"/>
      <c r="F27" s="49"/>
      <c r="G27" s="50"/>
      <c r="H27" s="51"/>
      <c r="I27" s="51"/>
      <c r="J27" s="52"/>
      <c r="K27" s="48"/>
    </row>
    <row r="28" spans="2:11" ht="16" x14ac:dyDescent="0.2">
      <c r="B28" s="39" t="s">
        <v>422</v>
      </c>
      <c r="C28" s="58" t="d">
        <v>2025-04-30</v>
      </c>
      <c r="D28" s="53"/>
      <c r="E28" s="17"/>
      <c r="F28" s="18"/>
      <c r="G28" s="36">
        <v>-14</v>
      </c>
      <c r="H28" s="20"/>
      <c r="I28" s="46">
        <f>I24+G28</f>
        <v>-14</v>
      </c>
      <c r="J28" s="31"/>
      <c r="K28" s="37" t="e">
        <f>I28/SUM($E$11:E28)</f>
        <v>#DIV/0!</v>
      </c>
    </row>
    <row r="29" spans="2:11" x14ac:dyDescent="0.2">
      <c r="B29" s="39"/>
      <c r="C29" s="58"/>
      <c r="D29" s="53"/>
      <c r="E29" s="17"/>
      <c r="F29" s="18"/>
      <c r="G29" s="36">
        <v>0</v>
      </c>
      <c r="H29" s="20"/>
      <c r="I29" s="46">
        <f t="shared" ref="I29:I84" si="2">I28+G29</f>
        <v>-14</v>
      </c>
      <c r="J29" s="31"/>
      <c r="K29" s="37" t="e">
        <f>I29/SUM($E$11:E29)</f>
        <v>#DIV/0!</v>
      </c>
    </row>
    <row r="30" spans="2:11" x14ac:dyDescent="0.2">
      <c r="B30" s="39"/>
      <c r="C30" s="58"/>
      <c r="D30" s="53"/>
      <c r="E30" s="17"/>
      <c r="F30" s="18"/>
      <c r="G30" s="36">
        <v>0</v>
      </c>
      <c r="H30" s="20"/>
      <c r="I30" s="46">
        <f t="shared" si="2"/>
        <v>-14</v>
      </c>
      <c r="J30" s="31"/>
      <c r="K30" s="37" t="e">
        <f>I30/SUM($E$11:E30)</f>
        <v>#DIV/0!</v>
      </c>
    </row>
    <row r="31" spans="2:11" x14ac:dyDescent="0.2">
      <c r="B31" s="39"/>
      <c r="C31" s="58"/>
      <c r="D31" s="53"/>
      <c r="E31" s="17"/>
      <c r="F31" s="18"/>
      <c r="G31" s="36">
        <v>0</v>
      </c>
      <c r="H31" s="20"/>
      <c r="I31" s="46">
        <f t="shared" si="2"/>
        <v>-14</v>
      </c>
      <c r="J31" s="31"/>
      <c r="K31" s="37" t="e">
        <f>I31/SUM($E$11:E31)</f>
        <v>#DIV/0!</v>
      </c>
    </row>
    <row r="32" spans="2:11" x14ac:dyDescent="0.2">
      <c r="B32" s="39"/>
      <c r="C32" s="58"/>
      <c r="D32" s="53"/>
      <c r="E32" s="17"/>
      <c r="F32" s="18"/>
      <c r="G32" s="36">
        <v>0</v>
      </c>
      <c r="H32" s="20"/>
      <c r="I32" s="46">
        <f t="shared" si="2"/>
        <v>-14</v>
      </c>
      <c r="J32" s="31"/>
      <c r="K32" s="37" t="e">
        <f>I32/SUM($E$11:E32)</f>
        <v>#DIV/0!</v>
      </c>
    </row>
    <row r="33" spans="2:11" x14ac:dyDescent="0.2">
      <c r="B33" s="39"/>
      <c r="C33" s="58"/>
      <c r="D33" s="53"/>
      <c r="E33" s="17"/>
      <c r="F33" s="18"/>
      <c r="G33" s="36">
        <v>0</v>
      </c>
      <c r="H33" s="20"/>
      <c r="I33" s="46">
        <f t="shared" si="2"/>
        <v>-14</v>
      </c>
      <c r="J33" s="31"/>
      <c r="K33" s="37" t="e">
        <f>I33/SUM($E$11:E33)</f>
        <v>#DIV/0!</v>
      </c>
    </row>
    <row r="34" spans="2:11" x14ac:dyDescent="0.2">
      <c r="B34" s="39"/>
      <c r="C34" s="58"/>
      <c r="D34" s="53"/>
      <c r="E34" s="17"/>
      <c r="F34" s="18"/>
      <c r="G34" s="36">
        <v>0</v>
      </c>
      <c r="H34" s="20"/>
      <c r="I34" s="46">
        <f t="shared" si="2"/>
        <v>-14</v>
      </c>
      <c r="J34" s="31"/>
      <c r="K34" s="37" t="e">
        <f>I34/SUM($E$11:E34)</f>
        <v>#DIV/0!</v>
      </c>
    </row>
    <row r="35" spans="2:11" x14ac:dyDescent="0.2">
      <c r="B35" s="39"/>
      <c r="C35" s="58"/>
      <c r="D35" s="53"/>
      <c r="E35" s="17"/>
      <c r="F35" s="18"/>
      <c r="G35" s="36">
        <v>0</v>
      </c>
      <c r="H35" s="20"/>
      <c r="I35" s="46">
        <f t="shared" si="2"/>
        <v>-14</v>
      </c>
      <c r="J35" s="31"/>
      <c r="K35" s="37" t="e">
        <f>I35/SUM($E$11:E35)</f>
        <v>#DIV/0!</v>
      </c>
    </row>
    <row r="36" spans="2:11" x14ac:dyDescent="0.2">
      <c r="B36" s="39"/>
      <c r="C36" s="58"/>
      <c r="D36" s="53"/>
      <c r="E36" s="17"/>
      <c r="F36" s="18"/>
      <c r="G36" s="36">
        <v>0</v>
      </c>
      <c r="H36" s="20"/>
      <c r="I36" s="46">
        <f t="shared" si="2"/>
        <v>-14</v>
      </c>
      <c r="J36" s="31"/>
      <c r="K36" s="37" t="e">
        <f>I36/SUM($E$11:E36)</f>
        <v>#DIV/0!</v>
      </c>
    </row>
    <row r="37" spans="2:11" x14ac:dyDescent="0.2">
      <c r="B37" s="39"/>
      <c r="C37" s="58"/>
      <c r="D37" s="53"/>
      <c r="E37" s="17"/>
      <c r="F37" s="18"/>
      <c r="G37" s="36">
        <v>0</v>
      </c>
      <c r="H37" s="20"/>
      <c r="I37" s="46">
        <f t="shared" si="2"/>
        <v>-14</v>
      </c>
      <c r="J37" s="31"/>
      <c r="K37" s="37" t="e">
        <f>I37/SUM($E$11:E37)</f>
        <v>#DIV/0!</v>
      </c>
    </row>
    <row r="38" spans="2:11" x14ac:dyDescent="0.2">
      <c r="B38" s="39"/>
      <c r="C38" s="58"/>
      <c r="D38" s="53"/>
      <c r="E38" s="17"/>
      <c r="F38" s="18"/>
      <c r="G38" s="36">
        <v>0</v>
      </c>
      <c r="H38" s="20"/>
      <c r="I38" s="46">
        <f t="shared" si="2"/>
        <v>-14</v>
      </c>
      <c r="J38" s="31"/>
      <c r="K38" s="37" t="e">
        <f>I38/SUM($E$11:E38)</f>
        <v>#DIV/0!</v>
      </c>
    </row>
    <row r="39" spans="2:11" x14ac:dyDescent="0.2">
      <c r="B39" s="39"/>
      <c r="C39" s="58"/>
      <c r="D39" s="53"/>
      <c r="E39" s="17"/>
      <c r="F39" s="18"/>
      <c r="G39" s="36">
        <v>0</v>
      </c>
      <c r="H39" s="20"/>
      <c r="I39" s="46">
        <f t="shared" si="2"/>
        <v>-14</v>
      </c>
      <c r="J39" s="31"/>
      <c r="K39" s="37" t="e">
        <f>I39/SUM($E$11:E39)</f>
        <v>#DIV/0!</v>
      </c>
    </row>
    <row r="40" spans="2:11" x14ac:dyDescent="0.2">
      <c r="B40" s="39"/>
      <c r="C40" s="58"/>
      <c r="D40" s="53"/>
      <c r="E40" s="17"/>
      <c r="F40" s="18"/>
      <c r="G40" s="36">
        <v>0</v>
      </c>
      <c r="H40" s="20"/>
      <c r="I40" s="46">
        <f t="shared" si="2"/>
        <v>-14</v>
      </c>
      <c r="J40" s="31"/>
      <c r="K40" s="37" t="e">
        <f>I40/SUM($E$11:E40)</f>
        <v>#DIV/0!</v>
      </c>
    </row>
    <row r="41" spans="2:11" x14ac:dyDescent="0.2">
      <c r="B41" s="39"/>
      <c r="C41" s="58"/>
      <c r="D41" s="53"/>
      <c r="E41" s="17"/>
      <c r="F41" s="18"/>
      <c r="G41" s="36">
        <v>0</v>
      </c>
      <c r="H41" s="20"/>
      <c r="I41" s="46">
        <f t="shared" si="2"/>
        <v>-14</v>
      </c>
      <c r="J41" s="31"/>
      <c r="K41" s="37" t="e">
        <f>I41/SUM($E$11:E41)</f>
        <v>#DIV/0!</v>
      </c>
    </row>
    <row r="42" spans="2:11" x14ac:dyDescent="0.2">
      <c r="B42" s="39"/>
      <c r="C42" s="58"/>
      <c r="D42" s="53"/>
      <c r="E42" s="17"/>
      <c r="F42" s="18"/>
      <c r="G42" s="36">
        <v>0</v>
      </c>
      <c r="H42" s="20"/>
      <c r="I42" s="46">
        <f t="shared" si="2"/>
        <v>-14</v>
      </c>
      <c r="J42" s="31"/>
      <c r="K42" s="37" t="e">
        <f>I42/SUM($E$11:E42)</f>
        <v>#DIV/0!</v>
      </c>
    </row>
    <row r="43" spans="2:11" x14ac:dyDescent="0.2">
      <c r="B43" s="39"/>
      <c r="C43" s="58"/>
      <c r="D43" s="53"/>
      <c r="E43" s="17"/>
      <c r="F43" s="18"/>
      <c r="G43" s="36">
        <v>0</v>
      </c>
      <c r="H43" s="20"/>
      <c r="I43" s="46">
        <f t="shared" si="2"/>
        <v>-14</v>
      </c>
      <c r="J43" s="31"/>
      <c r="K43" s="37" t="e">
        <f>I43/SUM($E$11:E43)</f>
        <v>#DIV/0!</v>
      </c>
    </row>
    <row r="44" spans="2:11" x14ac:dyDescent="0.2">
      <c r="B44" s="39"/>
      <c r="C44" s="58"/>
      <c r="D44" s="53"/>
      <c r="E44" s="17"/>
      <c r="F44" s="18"/>
      <c r="G44" s="36">
        <v>0</v>
      </c>
      <c r="H44" s="20"/>
      <c r="I44" s="46">
        <f t="shared" si="2"/>
        <v>-14</v>
      </c>
      <c r="J44" s="31"/>
      <c r="K44" s="37" t="e">
        <f>I44/SUM($E$11:E44)</f>
        <v>#DIV/0!</v>
      </c>
    </row>
    <row r="45" spans="2:11" x14ac:dyDescent="0.2">
      <c r="B45" s="39"/>
      <c r="C45" s="58"/>
      <c r="D45" s="53"/>
      <c r="E45" s="17"/>
      <c r="F45" s="18"/>
      <c r="G45" s="36">
        <v>0</v>
      </c>
      <c r="H45" s="20"/>
      <c r="I45" s="46">
        <f t="shared" si="2"/>
        <v>-14</v>
      </c>
      <c r="J45" s="31"/>
      <c r="K45" s="37" t="e">
        <f>I45/SUM($E$11:E45)</f>
        <v>#DIV/0!</v>
      </c>
    </row>
    <row r="46" spans="2:11" x14ac:dyDescent="0.2">
      <c r="B46" s="39"/>
      <c r="C46" s="58"/>
      <c r="D46" s="53"/>
      <c r="E46" s="17"/>
      <c r="F46" s="18"/>
      <c r="G46" s="36">
        <v>0</v>
      </c>
      <c r="H46" s="20"/>
      <c r="I46" s="46">
        <f t="shared" si="2"/>
        <v>-14</v>
      </c>
      <c r="J46" s="31"/>
      <c r="K46" s="37" t="e">
        <f>I46/SUM($E$11:E46)</f>
        <v>#DIV/0!</v>
      </c>
    </row>
    <row r="47" spans="2:11" x14ac:dyDescent="0.2">
      <c r="B47" s="39"/>
      <c r="C47" s="58"/>
      <c r="D47" s="53"/>
      <c r="E47" s="17"/>
      <c r="F47" s="18"/>
      <c r="G47" s="36">
        <v>0</v>
      </c>
      <c r="H47" s="20"/>
      <c r="I47" s="46">
        <f t="shared" si="2"/>
        <v>-14</v>
      </c>
      <c r="J47" s="31"/>
      <c r="K47" s="37" t="e">
        <f>I47/SUM($E$11:E47)</f>
        <v>#DIV/0!</v>
      </c>
    </row>
    <row r="48" spans="2:11" x14ac:dyDescent="0.2">
      <c r="B48" s="39"/>
      <c r="C48" s="58"/>
      <c r="D48" s="53"/>
      <c r="E48" s="17"/>
      <c r="F48" s="18"/>
      <c r="G48" s="36">
        <v>0</v>
      </c>
      <c r="H48" s="20"/>
      <c r="I48" s="46">
        <f t="shared" si="2"/>
        <v>-14</v>
      </c>
      <c r="J48" s="31"/>
      <c r="K48" s="37" t="e">
        <f>I48/SUM($E$11:E48)</f>
        <v>#DIV/0!</v>
      </c>
    </row>
    <row r="49" spans="2:11" x14ac:dyDescent="0.2">
      <c r="B49" s="39"/>
      <c r="C49" s="58"/>
      <c r="D49" s="53"/>
      <c r="E49" s="17"/>
      <c r="F49" s="18"/>
      <c r="G49" s="36">
        <v>0</v>
      </c>
      <c r="H49" s="20"/>
      <c r="I49" s="46">
        <f t="shared" si="2"/>
        <v>-14</v>
      </c>
      <c r="J49" s="31"/>
      <c r="K49" s="37" t="e">
        <f>I49/SUM($E$11:E49)</f>
        <v>#DIV/0!</v>
      </c>
    </row>
    <row r="50" spans="2:11" x14ac:dyDescent="0.2">
      <c r="B50" s="39"/>
      <c r="C50" s="58"/>
      <c r="D50" s="53"/>
      <c r="E50" s="17"/>
      <c r="F50" s="18"/>
      <c r="G50" s="36">
        <v>0</v>
      </c>
      <c r="H50" s="20"/>
      <c r="I50" s="46">
        <f t="shared" si="2"/>
        <v>-14</v>
      </c>
      <c r="J50" s="31"/>
      <c r="K50" s="37" t="e">
        <f>I50/SUM($E$11:E50)</f>
        <v>#DIV/0!</v>
      </c>
    </row>
    <row r="51" spans="2:11" x14ac:dyDescent="0.2">
      <c r="B51" s="39"/>
      <c r="C51" s="58"/>
      <c r="D51" s="53"/>
      <c r="E51" s="17"/>
      <c r="F51" s="18"/>
      <c r="G51" s="36">
        <v>0</v>
      </c>
      <c r="H51" s="20"/>
      <c r="I51" s="46">
        <f t="shared" si="2"/>
        <v>-14</v>
      </c>
      <c r="J51" s="31"/>
      <c r="K51" s="37" t="e">
        <f>I51/SUM($E$11:E51)</f>
        <v>#DIV/0!</v>
      </c>
    </row>
    <row r="52" spans="2:11" x14ac:dyDescent="0.2">
      <c r="B52" s="39"/>
      <c r="C52" s="58"/>
      <c r="D52" s="53"/>
      <c r="E52" s="17"/>
      <c r="F52" s="18"/>
      <c r="G52" s="36">
        <v>0</v>
      </c>
      <c r="H52" s="20"/>
      <c r="I52" s="46">
        <f t="shared" si="2"/>
        <v>-14</v>
      </c>
      <c r="J52" s="31"/>
      <c r="K52" s="37" t="e">
        <f>I52/SUM($E$11:E52)</f>
        <v>#DIV/0!</v>
      </c>
    </row>
    <row r="53" spans="2:11" x14ac:dyDescent="0.2">
      <c r="B53" s="39"/>
      <c r="C53" s="58"/>
      <c r="D53" s="53"/>
      <c r="E53" s="17"/>
      <c r="F53" s="18"/>
      <c r="G53" s="36">
        <v>0</v>
      </c>
      <c r="H53" s="20"/>
      <c r="I53" s="46">
        <f t="shared" si="2"/>
        <v>-14</v>
      </c>
      <c r="J53" s="31"/>
      <c r="K53" s="37" t="e">
        <f>I53/SUM($E$11:E53)</f>
        <v>#DIV/0!</v>
      </c>
    </row>
    <row r="54" spans="2:11" x14ac:dyDescent="0.2">
      <c r="B54" s="39"/>
      <c r="C54" s="58"/>
      <c r="D54" s="53"/>
      <c r="E54" s="17"/>
      <c r="F54" s="18"/>
      <c r="G54" s="36">
        <v>0</v>
      </c>
      <c r="H54" s="20"/>
      <c r="I54" s="46">
        <f t="shared" si="2"/>
        <v>-14</v>
      </c>
      <c r="J54" s="31"/>
      <c r="K54" s="37" t="e">
        <f>I54/SUM($E$11:E54)</f>
        <v>#DIV/0!</v>
      </c>
    </row>
    <row r="55" spans="2:11" x14ac:dyDescent="0.2">
      <c r="B55" s="39"/>
      <c r="C55" s="58"/>
      <c r="D55" s="53"/>
      <c r="E55" s="17"/>
      <c r="F55" s="18"/>
      <c r="G55" s="36">
        <v>0</v>
      </c>
      <c r="H55" s="20"/>
      <c r="I55" s="46">
        <f t="shared" si="2"/>
        <v>-14</v>
      </c>
      <c r="J55" s="31"/>
      <c r="K55" s="37" t="e">
        <f>I55/SUM($E$11:E55)</f>
        <v>#DIV/0!</v>
      </c>
    </row>
    <row r="56" spans="2:11" x14ac:dyDescent="0.2">
      <c r="B56" s="39"/>
      <c r="C56" s="58"/>
      <c r="D56" s="53"/>
      <c r="E56" s="17"/>
      <c r="F56" s="18"/>
      <c r="G56" s="36">
        <v>0</v>
      </c>
      <c r="H56" s="20"/>
      <c r="I56" s="46">
        <f t="shared" si="2"/>
        <v>-14</v>
      </c>
      <c r="J56" s="31"/>
      <c r="K56" s="37" t="e">
        <f>I56/SUM($E$11:E56)</f>
        <v>#DIV/0!</v>
      </c>
    </row>
    <row r="57" spans="2:11" x14ac:dyDescent="0.2">
      <c r="B57" s="39"/>
      <c r="C57" s="58"/>
      <c r="D57" s="53"/>
      <c r="E57" s="17"/>
      <c r="F57" s="18"/>
      <c r="G57" s="36">
        <v>0</v>
      </c>
      <c r="H57" s="20"/>
      <c r="I57" s="46">
        <f t="shared" si="2"/>
        <v>-14</v>
      </c>
      <c r="J57" s="31"/>
      <c r="K57" s="37" t="e">
        <f>I57/SUM($E$11:E57)</f>
        <v>#DIV/0!</v>
      </c>
    </row>
    <row r="58" spans="2:11" x14ac:dyDescent="0.2">
      <c r="B58" s="39"/>
      <c r="C58" s="58"/>
      <c r="D58" s="53"/>
      <c r="E58" s="17"/>
      <c r="F58" s="18"/>
      <c r="G58" s="36">
        <v>0</v>
      </c>
      <c r="H58" s="20"/>
      <c r="I58" s="46">
        <f t="shared" si="2"/>
        <v>-14</v>
      </c>
      <c r="J58" s="31"/>
      <c r="K58" s="37" t="e">
        <f>I58/SUM($E$11:E58)</f>
        <v>#DIV/0!</v>
      </c>
    </row>
    <row r="59" spans="2:11" x14ac:dyDescent="0.2">
      <c r="B59" s="39"/>
      <c r="C59" s="58"/>
      <c r="D59" s="53"/>
      <c r="E59" s="17"/>
      <c r="F59" s="18"/>
      <c r="G59" s="36">
        <v>0</v>
      </c>
      <c r="H59" s="20"/>
      <c r="I59" s="46">
        <f t="shared" si="2"/>
        <v>-14</v>
      </c>
      <c r="J59" s="31"/>
      <c r="K59" s="37" t="e">
        <f>I59/SUM($E$11:E59)</f>
        <v>#DIV/0!</v>
      </c>
    </row>
    <row r="60" spans="2:11" x14ac:dyDescent="0.2">
      <c r="B60" s="39"/>
      <c r="C60" s="58"/>
      <c r="D60" s="53"/>
      <c r="E60" s="17"/>
      <c r="F60" s="18"/>
      <c r="G60" s="36">
        <v>0</v>
      </c>
      <c r="H60" s="20"/>
      <c r="I60" s="46">
        <f t="shared" si="2"/>
        <v>-14</v>
      </c>
      <c r="J60" s="31"/>
      <c r="K60" s="37" t="e">
        <f>I60/SUM($E$11:E60)</f>
        <v>#DIV/0!</v>
      </c>
    </row>
    <row r="61" spans="2:11" x14ac:dyDescent="0.2">
      <c r="B61" s="39"/>
      <c r="C61" s="58"/>
      <c r="D61" s="53"/>
      <c r="E61" s="17"/>
      <c r="F61" s="18"/>
      <c r="G61" s="36">
        <v>0</v>
      </c>
      <c r="H61" s="20"/>
      <c r="I61" s="46">
        <f t="shared" si="2"/>
        <v>-14</v>
      </c>
      <c r="J61" s="31"/>
      <c r="K61" s="37" t="e">
        <f>I61/SUM($E$11:E61)</f>
        <v>#DIV/0!</v>
      </c>
    </row>
    <row r="62" spans="2:11" x14ac:dyDescent="0.2">
      <c r="B62" s="39"/>
      <c r="C62" s="58"/>
      <c r="D62" s="53"/>
      <c r="E62" s="17"/>
      <c r="F62" s="18"/>
      <c r="G62" s="36">
        <v>0</v>
      </c>
      <c r="H62" s="20"/>
      <c r="I62" s="46">
        <f t="shared" si="2"/>
        <v>-14</v>
      </c>
      <c r="J62" s="31"/>
      <c r="K62" s="37" t="e">
        <f>I62/SUM($E$11:E62)</f>
        <v>#DIV/0!</v>
      </c>
    </row>
    <row r="63" spans="2:11" x14ac:dyDescent="0.2">
      <c r="B63" s="39"/>
      <c r="C63" s="58"/>
      <c r="D63" s="53"/>
      <c r="E63" s="17"/>
      <c r="F63" s="18"/>
      <c r="G63" s="36">
        <v>0</v>
      </c>
      <c r="H63" s="20"/>
      <c r="I63" s="46">
        <f t="shared" si="2"/>
        <v>-14</v>
      </c>
      <c r="J63" s="31"/>
      <c r="K63" s="37" t="e">
        <f>I63/SUM($E$11:E63)</f>
        <v>#DIV/0!</v>
      </c>
    </row>
    <row r="64" spans="2:11" x14ac:dyDescent="0.2">
      <c r="B64" s="39"/>
      <c r="C64" s="58"/>
      <c r="D64" s="53"/>
      <c r="E64" s="17"/>
      <c r="F64" s="18"/>
      <c r="G64" s="36">
        <v>0</v>
      </c>
      <c r="H64" s="20"/>
      <c r="I64" s="46">
        <f t="shared" si="2"/>
        <v>-14</v>
      </c>
      <c r="J64" s="31"/>
      <c r="K64" s="37" t="e">
        <f>I64/SUM($E$11:E64)</f>
        <v>#DIV/0!</v>
      </c>
    </row>
    <row r="65" spans="2:11" x14ac:dyDescent="0.2">
      <c r="B65" s="39"/>
      <c r="C65" s="58"/>
      <c r="D65" s="53"/>
      <c r="E65" s="17"/>
      <c r="F65" s="18"/>
      <c r="G65" s="36">
        <v>0</v>
      </c>
      <c r="H65" s="20"/>
      <c r="I65" s="46">
        <f t="shared" si="2"/>
        <v>-14</v>
      </c>
      <c r="J65" s="31"/>
      <c r="K65" s="37" t="e">
        <f>I65/SUM($E$11:E65)</f>
        <v>#DIV/0!</v>
      </c>
    </row>
    <row r="66" spans="2:11" x14ac:dyDescent="0.2">
      <c r="B66" s="39"/>
      <c r="C66" s="58"/>
      <c r="D66" s="53"/>
      <c r="E66" s="17"/>
      <c r="F66" s="18"/>
      <c r="G66" s="36">
        <v>0</v>
      </c>
      <c r="H66" s="20"/>
      <c r="I66" s="46">
        <f t="shared" si="2"/>
        <v>-14</v>
      </c>
      <c r="J66" s="31"/>
      <c r="K66" s="37" t="e">
        <f>I66/SUM($E$11:E66)</f>
        <v>#DIV/0!</v>
      </c>
    </row>
    <row r="67" spans="2:11" x14ac:dyDescent="0.2">
      <c r="B67" s="39"/>
      <c r="C67" s="58"/>
      <c r="D67" s="53"/>
      <c r="E67" s="17"/>
      <c r="F67" s="18"/>
      <c r="G67" s="36">
        <v>0</v>
      </c>
      <c r="H67" s="20"/>
      <c r="I67" s="46">
        <f t="shared" si="2"/>
        <v>-14</v>
      </c>
      <c r="J67" s="31"/>
      <c r="K67" s="37" t="e">
        <f>I67/SUM($E$11:E67)</f>
        <v>#DIV/0!</v>
      </c>
    </row>
    <row r="68" spans="2:11" x14ac:dyDescent="0.2">
      <c r="B68" s="39"/>
      <c r="C68" s="58"/>
      <c r="D68" s="53"/>
      <c r="E68" s="17"/>
      <c r="F68" s="18"/>
      <c r="G68" s="36">
        <v>0</v>
      </c>
      <c r="H68" s="20"/>
      <c r="I68" s="46">
        <f t="shared" si="2"/>
        <v>-14</v>
      </c>
      <c r="J68" s="31"/>
      <c r="K68" s="37" t="e">
        <f>I68/SUM($E$11:E68)</f>
        <v>#DIV/0!</v>
      </c>
    </row>
    <row r="69" spans="2:11" x14ac:dyDescent="0.2">
      <c r="B69" s="39"/>
      <c r="C69" s="58"/>
      <c r="D69" s="53"/>
      <c r="E69" s="17"/>
      <c r="F69" s="18"/>
      <c r="G69" s="36">
        <v>0</v>
      </c>
      <c r="H69" s="20"/>
      <c r="I69" s="46">
        <f t="shared" si="2"/>
        <v>-14</v>
      </c>
      <c r="J69" s="31"/>
      <c r="K69" s="37" t="e">
        <f>I69/SUM($E$11:E69)</f>
        <v>#DIV/0!</v>
      </c>
    </row>
    <row r="70" spans="2:11" x14ac:dyDescent="0.2">
      <c r="B70" s="39"/>
      <c r="C70" s="58"/>
      <c r="D70" s="53"/>
      <c r="E70" s="17"/>
      <c r="F70" s="18"/>
      <c r="G70" s="36">
        <v>0</v>
      </c>
      <c r="H70" s="20"/>
      <c r="I70" s="46">
        <f t="shared" si="2"/>
        <v>-14</v>
      </c>
      <c r="J70" s="31"/>
      <c r="K70" s="37" t="e">
        <f>I70/SUM($E$11:E70)</f>
        <v>#DIV/0!</v>
      </c>
    </row>
    <row r="71" spans="2:11" x14ac:dyDescent="0.2">
      <c r="B71" s="39"/>
      <c r="C71" s="58"/>
      <c r="D71" s="53"/>
      <c r="E71" s="17"/>
      <c r="F71" s="18"/>
      <c r="G71" s="36">
        <v>0</v>
      </c>
      <c r="H71" s="20"/>
      <c r="I71" s="46">
        <f t="shared" si="2"/>
        <v>-14</v>
      </c>
      <c r="J71" s="31"/>
      <c r="K71" s="37" t="e">
        <f>I71/SUM($E$11:E71)</f>
        <v>#DIV/0!</v>
      </c>
    </row>
    <row r="72" spans="2:11" x14ac:dyDescent="0.2">
      <c r="B72" s="39"/>
      <c r="C72" s="58"/>
      <c r="D72" s="53"/>
      <c r="E72" s="17"/>
      <c r="F72" s="18"/>
      <c r="G72" s="36">
        <v>0</v>
      </c>
      <c r="H72" s="20"/>
      <c r="I72" s="46">
        <f t="shared" si="2"/>
        <v>-14</v>
      </c>
      <c r="J72" s="31"/>
      <c r="K72" s="37" t="e">
        <f>I72/SUM($E$11:E72)</f>
        <v>#DIV/0!</v>
      </c>
    </row>
    <row r="73" spans="2:11" x14ac:dyDescent="0.2">
      <c r="B73" s="39"/>
      <c r="C73" s="58"/>
      <c r="D73" s="53"/>
      <c r="E73" s="17"/>
      <c r="F73" s="18"/>
      <c r="G73" s="36">
        <v>0</v>
      </c>
      <c r="H73" s="20"/>
      <c r="I73" s="46">
        <f t="shared" si="2"/>
        <v>-14</v>
      </c>
      <c r="J73" s="31"/>
      <c r="K73" s="37" t="e">
        <f>I73/SUM($E$11:E73)</f>
        <v>#DIV/0!</v>
      </c>
    </row>
    <row r="74" spans="2:11" x14ac:dyDescent="0.2">
      <c r="B74" s="39"/>
      <c r="C74" s="58"/>
      <c r="D74" s="53"/>
      <c r="E74" s="17"/>
      <c r="F74" s="18"/>
      <c r="G74" s="36">
        <v>0</v>
      </c>
      <c r="H74" s="20"/>
      <c r="I74" s="46">
        <f t="shared" si="2"/>
        <v>-14</v>
      </c>
      <c r="J74" s="31"/>
      <c r="K74" s="37" t="e">
        <f>I74/SUM($E$11:E74)</f>
        <v>#DIV/0!</v>
      </c>
    </row>
    <row r="75" spans="2:11" x14ac:dyDescent="0.2">
      <c r="B75" s="39"/>
      <c r="C75" s="58"/>
      <c r="D75" s="53"/>
      <c r="E75" s="17"/>
      <c r="F75" s="18"/>
      <c r="G75" s="36">
        <v>0</v>
      </c>
      <c r="H75" s="20"/>
      <c r="I75" s="46">
        <f t="shared" si="2"/>
        <v>-14</v>
      </c>
      <c r="J75" s="31"/>
      <c r="K75" s="37" t="e">
        <f>I75/SUM($E$11:E75)</f>
        <v>#DIV/0!</v>
      </c>
    </row>
    <row r="76" spans="2:11" x14ac:dyDescent="0.2">
      <c r="B76" s="39"/>
      <c r="C76" s="58"/>
      <c r="D76" s="53"/>
      <c r="E76" s="17"/>
      <c r="F76" s="18"/>
      <c r="G76" s="36">
        <v>0</v>
      </c>
      <c r="H76" s="20"/>
      <c r="I76" s="46">
        <f t="shared" si="2"/>
        <v>-14</v>
      </c>
      <c r="J76" s="31"/>
      <c r="K76" s="37" t="e">
        <f>I76/SUM($E$11:E76)</f>
        <v>#DIV/0!</v>
      </c>
    </row>
    <row r="77" spans="2:11" x14ac:dyDescent="0.2">
      <c r="B77" s="39"/>
      <c r="C77" s="58"/>
      <c r="D77" s="53"/>
      <c r="E77" s="17"/>
      <c r="F77" s="18"/>
      <c r="G77" s="36">
        <v>0</v>
      </c>
      <c r="H77" s="20"/>
      <c r="I77" s="46">
        <f t="shared" si="2"/>
        <v>-14</v>
      </c>
      <c r="J77" s="31"/>
      <c r="K77" s="37" t="e">
        <f>I77/SUM($E$11:E77)</f>
        <v>#DIV/0!</v>
      </c>
    </row>
    <row r="78" spans="2:11" x14ac:dyDescent="0.2">
      <c r="B78" s="39"/>
      <c r="C78" s="58"/>
      <c r="D78" s="53"/>
      <c r="E78" s="17"/>
      <c r="F78" s="18"/>
      <c r="G78" s="36">
        <v>0</v>
      </c>
      <c r="H78" s="20"/>
      <c r="I78" s="46">
        <f>I49+G78</f>
        <v>-14</v>
      </c>
      <c r="J78" s="31"/>
      <c r="K78" s="37" t="e">
        <f>I78/SUM($E$11:E78)</f>
        <v>#DIV/0!</v>
      </c>
    </row>
    <row r="79" spans="2:11" x14ac:dyDescent="0.2">
      <c r="B79" s="39"/>
      <c r="C79" s="58"/>
      <c r="D79" s="53"/>
      <c r="E79" s="17"/>
      <c r="F79" s="18"/>
      <c r="G79" s="36">
        <v>0</v>
      </c>
      <c r="H79" s="20"/>
      <c r="I79" s="46">
        <f t="shared" si="2"/>
        <v>-14</v>
      </c>
      <c r="J79" s="31"/>
      <c r="K79" s="37" t="e">
        <f>I79/SUM($E$11:E79)</f>
        <v>#DIV/0!</v>
      </c>
    </row>
    <row r="80" spans="2:11" x14ac:dyDescent="0.2">
      <c r="B80" s="39"/>
      <c r="C80" s="58"/>
      <c r="D80" s="53"/>
      <c r="E80" s="17"/>
      <c r="F80" s="18"/>
      <c r="G80" s="36">
        <v>0</v>
      </c>
      <c r="H80" s="20"/>
      <c r="I80" s="46">
        <f t="shared" si="2"/>
        <v>-14</v>
      </c>
      <c r="J80" s="31"/>
      <c r="K80" s="37" t="e">
        <f>I80/SUM($E$11:E80)</f>
        <v>#DIV/0!</v>
      </c>
    </row>
    <row r="81" spans="2:11" x14ac:dyDescent="0.2">
      <c r="B81" s="39"/>
      <c r="C81" s="58"/>
      <c r="D81" s="53"/>
      <c r="E81" s="17"/>
      <c r="F81" s="18"/>
      <c r="G81" s="36">
        <v>0</v>
      </c>
      <c r="H81" s="20"/>
      <c r="I81" s="46">
        <f t="shared" si="2"/>
        <v>-14</v>
      </c>
      <c r="J81" s="31"/>
      <c r="K81" s="37" t="e">
        <f>I81/SUM($E$11:E81)</f>
        <v>#DIV/0!</v>
      </c>
    </row>
    <row r="82" spans="2:11" x14ac:dyDescent="0.2">
      <c r="B82" s="39"/>
      <c r="C82" s="58"/>
      <c r="D82" s="53"/>
      <c r="E82" s="17"/>
      <c r="F82" s="18"/>
      <c r="G82" s="36">
        <v>0</v>
      </c>
      <c r="H82" s="20"/>
      <c r="I82" s="46">
        <f t="shared" si="2"/>
        <v>-14</v>
      </c>
      <c r="J82" s="31"/>
      <c r="K82" s="37" t="e">
        <f>I82/SUM($E$11:E82)</f>
        <v>#DIV/0!</v>
      </c>
    </row>
    <row r="83" spans="2:11" x14ac:dyDescent="0.2">
      <c r="B83" s="39"/>
      <c r="C83" s="58"/>
      <c r="D83" s="53"/>
      <c r="E83" s="17"/>
      <c r="F83" s="18"/>
      <c r="G83" s="36">
        <v>0</v>
      </c>
      <c r="H83" s="20"/>
      <c r="I83" s="46">
        <f t="shared" si="2"/>
        <v>-14</v>
      </c>
      <c r="J83" s="31"/>
      <c r="K83" s="37" t="e">
        <f>I83/SUM($E$11:E83)</f>
        <v>#DIV/0!</v>
      </c>
    </row>
    <row r="84" spans="2:11" x14ac:dyDescent="0.2">
      <c r="B84" s="39"/>
      <c r="C84" s="58"/>
      <c r="D84" s="53"/>
      <c r="E84" s="17"/>
      <c r="F84" s="18"/>
      <c r="G84" s="36">
        <v>0</v>
      </c>
      <c r="H84" s="20"/>
      <c r="I84" s="46">
        <f t="shared" si="2"/>
        <v>-14</v>
      </c>
      <c r="J84" s="31"/>
      <c r="K84" s="37" t="e">
        <f>I84/SUM($E$11:E84)</f>
        <v>#DIV/0!</v>
      </c>
    </row>
    <row r="85" spans="2:11" ht="19" x14ac:dyDescent="0.25">
      <c r="B85" s="39"/>
      <c r="C85" s="58"/>
      <c r="D85" s="53"/>
      <c r="E85" s="129"/>
      <c r="F85" s="24"/>
      <c r="G85" s="25">
        <f>SUM(G28:G84)</f>
        <v>-14</v>
      </c>
      <c r="H85" s="20"/>
      <c r="I85" s="19"/>
      <c r="J85" s="31"/>
      <c r="K85" s="25">
        <f>I85/3400</f>
        <v>0</v>
      </c>
    </row>
    <row r="86" spans="2:11" ht="4.75" customHeight="1" x14ac:dyDescent="0.2">
      <c r="B86" s="39"/>
      <c r="C86" s="58"/>
      <c r="D86" s="53"/>
      <c r="E86" s="17"/>
      <c r="F86" s="18"/>
      <c r="G86" s="19"/>
      <c r="H86" s="20"/>
      <c r="I86" s="20"/>
      <c r="J86" s="31"/>
      <c r="K86" s="17"/>
    </row>
    <row r="87" spans="2:11" ht="14.5" customHeight="1" x14ac:dyDescent="0.2">
      <c r="B87" s="39"/>
      <c r="C87" s="58"/>
      <c r="D87" s="53"/>
      <c r="H87" s="20"/>
      <c r="I87" s="20"/>
      <c r="J87" s="31"/>
      <c r="K87" s="17"/>
    </row>
    <row r="88" spans="2:11" x14ac:dyDescent="0.2">
      <c r="D88" s="45"/>
    </row>
    <row r="89" spans="2:11" x14ac:dyDescent="0.2">
      <c r="D89" s="45"/>
    </row>
    <row r="90" spans="2:11" x14ac:dyDescent="0.2">
      <c r="D90" s="45"/>
    </row>
    <row r="91" spans="2:11" x14ac:dyDescent="0.2">
      <c r="D91" s="45"/>
    </row>
  </sheetData>
  <mergeCells count="1">
    <mergeCell ref="B8:G8"/>
  </mergeCells>
  <conditionalFormatting sqref="B28:B84">
    <cfRule type="expression" dxfId="296" priority="1" stopIfTrue="1">
      <formula>J28="ROLL"</formula>
    </cfRule>
    <cfRule type="expression" dxfId="295" priority="2" stopIfTrue="1">
      <formula>AND(ISNUMBER(SEARCH("call", B28)), J28="expired")</formula>
    </cfRule>
    <cfRule type="expression" dxfId="294" priority="3" stopIfTrue="1">
      <formula>AND(ISNUMBER(SEARCH("call", B28)), J28="assigned")</formula>
    </cfRule>
    <cfRule type="expression" dxfId="293" priority="4" stopIfTrue="1">
      <formula>J28="assigned"</formula>
    </cfRule>
    <cfRule type="expression" dxfId="292" priority="5">
      <formula>J28="expired"</formula>
    </cfRule>
  </conditionalFormatting>
  <pageMargins left="0.7" right="0.7" top="0.75" bottom="0.75" header="0.3" footer="0.3"/>
  <pageSetup paperSize="0" orientation="portrait" r:id="rId1"/>
</worksheet>
</file>

<file path=xl/worksheets/sheet2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1F4A-493F-374B-B4DB-C5F435177921}">
  <sheetPr codeName="Sheet62"/>
  <dimension ref="B1:N79"/>
  <sheetViews>
    <sheetView topLeftCell="A29" zoomScale="120" zoomScaleNormal="120" workbookViewId="0">
      <selection activeCell="O44" sqref="O44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578</v>
      </c>
      <c r="C1" s="197"/>
    </row>
    <row r="2" spans="2:14" x14ac:dyDescent="0.2">
      <c r="B2" s="1" t="s">
        <v>579</v>
      </c>
      <c r="C2" s="56"/>
      <c r="D2" s="2"/>
      <c r="F2" s="3"/>
      <c r="G2" s="4"/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-221</v>
      </c>
      <c r="I3" t="s">
        <v>279</v>
      </c>
      <c r="J3" s="30">
        <v>28.99</v>
      </c>
      <c r="K3" s="6"/>
    </row>
    <row r="4" spans="2:14" x14ac:dyDescent="0.2">
      <c r="B4" s="1"/>
      <c r="C4" s="56"/>
      <c r="D4" s="2"/>
      <c r="F4" s="3" t="s">
        <v>2</v>
      </c>
      <c r="G4" s="9">
        <f>SUM(E11:E37)</f>
        <v>0</v>
      </c>
    </row>
    <row r="5" spans="2:14" x14ac:dyDescent="0.2">
      <c r="C5" s="56"/>
      <c r="D5" s="2"/>
      <c r="F5" s="3"/>
      <c r="G5" s="4"/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36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  <c r="N12" s="144" t="s">
        <v>268</v>
      </c>
    </row>
    <row r="13" spans="2:14" x14ac:dyDescent="0.2">
      <c r="B13" s="15"/>
      <c r="C13" s="58"/>
      <c r="D13" s="16"/>
      <c r="E13" s="157"/>
      <c r="F13" s="21"/>
      <c r="G13" s="36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  <c r="N13" s="143" t="s">
        <v>269</v>
      </c>
    </row>
    <row r="14" spans="2:14" x14ac:dyDescent="0.2">
      <c r="B14" s="15"/>
      <c r="C14" s="58"/>
      <c r="D14" s="16"/>
      <c r="E14" s="157"/>
      <c r="F14" s="21"/>
      <c r="G14" s="36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  <c r="N14" s="145" t="s">
        <v>270</v>
      </c>
    </row>
    <row r="15" spans="2:14" x14ac:dyDescent="0.2">
      <c r="B15" s="15"/>
      <c r="C15" s="58"/>
      <c r="D15" s="16"/>
      <c r="E15" s="157"/>
      <c r="F15" s="21"/>
      <c r="G15" s="36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  <c r="N15" s="146" t="s">
        <v>271</v>
      </c>
    </row>
    <row r="16" spans="2:14" x14ac:dyDescent="0.2">
      <c r="B16" s="15"/>
      <c r="C16" s="58"/>
      <c r="D16" s="16"/>
      <c r="E16" s="157"/>
      <c r="F16" s="21"/>
      <c r="G16" s="36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  <c r="N16" s="147" t="s">
        <v>266</v>
      </c>
    </row>
    <row r="17" spans="2:14" x14ac:dyDescent="0.2">
      <c r="B17" s="15"/>
      <c r="C17" s="58"/>
      <c r="D17" s="16"/>
      <c r="E17" s="157"/>
      <c r="F17" s="21"/>
      <c r="G17" s="36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  <c r="N17" s="164" t="s">
        <v>493</v>
      </c>
    </row>
    <row r="18" spans="2:14" x14ac:dyDescent="0.2">
      <c r="B18" s="15"/>
      <c r="C18" s="58"/>
      <c r="D18" s="16"/>
      <c r="E18" s="157"/>
      <c r="F18" s="21"/>
      <c r="G18" s="36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  <c r="N18" s="172" t="s">
        <v>546</v>
      </c>
    </row>
    <row r="19" spans="2:14" x14ac:dyDescent="0.2">
      <c r="B19" s="15"/>
      <c r="C19" s="58"/>
      <c r="D19" s="16"/>
      <c r="E19" s="157"/>
      <c r="F19" s="21"/>
      <c r="G19" s="36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4" x14ac:dyDescent="0.2">
      <c r="B20" s="15"/>
      <c r="C20" s="58"/>
      <c r="D20" s="16"/>
      <c r="E20" s="157"/>
      <c r="F20" s="21"/>
      <c r="G20" s="36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4" x14ac:dyDescent="0.2">
      <c r="B21" s="15"/>
      <c r="C21" s="58"/>
      <c r="D21" s="16"/>
      <c r="E21" s="157"/>
      <c r="F21" s="21"/>
      <c r="G21" s="36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4" x14ac:dyDescent="0.2">
      <c r="B22" s="15"/>
      <c r="C22" s="58"/>
      <c r="D22" s="16"/>
      <c r="E22" s="157"/>
      <c r="F22" s="21"/>
      <c r="G22" s="36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4" x14ac:dyDescent="0.2">
      <c r="B23" s="15"/>
      <c r="C23" s="58"/>
      <c r="D23" s="16"/>
      <c r="E23" s="157"/>
      <c r="F23" s="21"/>
      <c r="G23" s="36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4" x14ac:dyDescent="0.2">
      <c r="B24" s="15"/>
      <c r="C24" s="58"/>
      <c r="D24" s="16"/>
      <c r="E24" s="157"/>
      <c r="F24" s="21"/>
      <c r="G24" s="36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4" x14ac:dyDescent="0.2">
      <c r="B25" s="15"/>
      <c r="C25" s="58"/>
      <c r="D25" s="16"/>
      <c r="E25" s="157"/>
      <c r="F25" s="21"/>
      <c r="G25" s="36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4" x14ac:dyDescent="0.2">
      <c r="B26" s="15"/>
      <c r="C26" s="58"/>
      <c r="D26" s="16"/>
      <c r="E26" s="157"/>
      <c r="F26" s="21"/>
      <c r="G26" s="36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4" x14ac:dyDescent="0.2">
      <c r="B27" s="15"/>
      <c r="C27" s="58"/>
      <c r="D27" s="16"/>
      <c r="E27" s="157"/>
      <c r="F27" s="21"/>
      <c r="G27" s="36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4" x14ac:dyDescent="0.2">
      <c r="B28" s="15"/>
      <c r="C28" s="58"/>
      <c r="D28" s="16"/>
      <c r="E28" s="157"/>
      <c r="F28" s="21"/>
      <c r="G28" s="36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4" x14ac:dyDescent="0.2">
      <c r="B29" s="15"/>
      <c r="C29" s="58"/>
      <c r="D29" s="16"/>
      <c r="E29" s="157"/>
      <c r="F29" s="21"/>
      <c r="G29" s="36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4" x14ac:dyDescent="0.2">
      <c r="B30" s="15"/>
      <c r="C30" s="58"/>
      <c r="D30" s="16"/>
      <c r="E30" s="157"/>
      <c r="F30" s="21"/>
      <c r="G30" s="36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4" x14ac:dyDescent="0.2">
      <c r="B31" s="15"/>
      <c r="C31" s="58"/>
      <c r="D31" s="16"/>
      <c r="E31" s="157"/>
      <c r="F31" s="21"/>
      <c r="G31" s="36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4" x14ac:dyDescent="0.2">
      <c r="B32" s="15"/>
      <c r="C32" s="58"/>
      <c r="D32" s="16"/>
      <c r="E32" s="157"/>
      <c r="F32" s="21"/>
      <c r="G32" s="36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36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36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36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36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36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65">
        <f>SUM(G11:G37)</f>
        <v>0</v>
      </c>
      <c r="H38" s="20"/>
      <c r="I38" s="19"/>
      <c r="J38" s="31"/>
      <c r="K38" s="165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20" customHeight="1" x14ac:dyDescent="0.2">
      <c r="B41" s="39" t="s">
        <v>580</v>
      </c>
      <c r="C41" s="58" t="d">
        <v>2025-09-10</v>
      </c>
      <c r="D41" s="16"/>
      <c r="E41" s="155"/>
      <c r="F41" s="21"/>
      <c r="G41" s="36">
        <v>-105</v>
      </c>
      <c r="H41" s="20"/>
      <c r="I41" s="36">
        <f>I13+G41</f>
        <v>-105</v>
      </c>
      <c r="J41" s="31"/>
      <c r="K41" s="36" t="e">
        <f>I41/SUM($E$11:E41)</f>
        <v>#DIV/0!</v>
      </c>
    </row>
    <row r="42" spans="2:11" ht="16" x14ac:dyDescent="0.2">
      <c r="B42" s="39" t="s">
        <v>581</v>
      </c>
      <c r="C42" s="58" t="d">
        <v>2025-09-25</v>
      </c>
      <c r="D42" s="16"/>
      <c r="E42" s="155"/>
      <c r="F42" s="21"/>
      <c r="G42" s="36">
        <v>-116</v>
      </c>
      <c r="H42" s="17"/>
      <c r="I42" s="36">
        <f t="shared" ref="I42:I76" si="2">I41+G42</f>
        <v>-221</v>
      </c>
      <c r="J42" s="31"/>
      <c r="K42" s="36" t="e">
        <f>I42/SUM($E$11:E42)</f>
        <v>#DIV/0!</v>
      </c>
    </row>
    <row r="43" spans="2:11" x14ac:dyDescent="0.2">
      <c r="B43" s="39"/>
      <c r="C43" s="58"/>
      <c r="D43" s="16"/>
      <c r="E43" s="155"/>
      <c r="G43" s="36">
        <v>0</v>
      </c>
      <c r="H43" s="17"/>
      <c r="I43" s="36">
        <f t="shared" si="2"/>
        <v>-221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-221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-221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-221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-221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-221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-221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-221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-221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-221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-221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-221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-221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-221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-221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-221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-221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-221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-221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-221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-221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-221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-221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-221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-221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-221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-221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-221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-221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-221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-221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-221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-221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-221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65">
        <f>SUM(G41:G76)</f>
        <v>-221</v>
      </c>
      <c r="H77" s="20"/>
      <c r="I77" s="19"/>
      <c r="J77" s="31"/>
      <c r="K77" s="165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291" priority="10" stopIfTrue="1">
      <formula>J77="assigned"</formula>
    </cfRule>
    <cfRule type="expression" dxfId="290" priority="11">
      <formula>J77="expired"</formula>
    </cfRule>
  </conditionalFormatting>
  <conditionalFormatting sqref="B77:B116">
    <cfRule type="expression" dxfId="289" priority="8">
      <formula>AND(ISNUMBER(SEARCH("call", B77)), J77="expired")</formula>
    </cfRule>
    <cfRule type="expression" dxfId="288" priority="9">
      <formula>AND(ISNUMBER(SEARCH("call", B77)), J77="assigned")</formula>
    </cfRule>
  </conditionalFormatting>
  <conditionalFormatting sqref="B41:B76">
    <cfRule type="expression" dxfId="287" priority="1" stopIfTrue="1">
      <formula>J41="closing"</formula>
    </cfRule>
    <cfRule type="expression" dxfId="286" priority="2" stopIfTrue="1">
      <formula>J41="closed"</formula>
    </cfRule>
    <cfRule type="expression" dxfId="285" priority="3" stopIfTrue="1">
      <formula>J41="ROLL"</formula>
    </cfRule>
    <cfRule type="expression" dxfId="284" priority="4" stopIfTrue="1">
      <formula>AND(ISNUMBER(SEARCH("call", B41)), J41="expired")</formula>
    </cfRule>
    <cfRule type="expression" dxfId="283" priority="5" stopIfTrue="1">
      <formula>AND(ISNUMBER(SEARCH("call", B41)), J41="assigned")</formula>
    </cfRule>
    <cfRule type="expression" dxfId="282" priority="6" stopIfTrue="1">
      <formula>J41="assigned"</formula>
    </cfRule>
    <cfRule type="expression" dxfId="281" priority="7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33ED-E08E-BC48-A5AA-A5EE19CBCAB9}">
  <sheetPr codeName="Sheet55"/>
  <dimension ref="B1:N79"/>
  <sheetViews>
    <sheetView topLeftCell="A5" zoomScale="120" zoomScaleNormal="120" workbookViewId="0">
      <selection activeCell="G45" sqref="G45"/>
    </sheetView>
  </sheetViews>
  <sheetFormatPr baseColWidth="10" defaultColWidth="8.83203125" defaultRowHeight="15" x14ac:dyDescent="0.2"/>
  <cols>
    <col min="1" max="1" width="6" customWidth="1"/>
    <col min="2" max="2" width="40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460</v>
      </c>
      <c r="C1" s="197"/>
    </row>
    <row r="2" spans="2:14" x14ac:dyDescent="0.2">
      <c r="B2" s="1" t="s">
        <v>461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-391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20" customHeight="1" x14ac:dyDescent="0.2">
      <c r="B41" s="39" t="s">
        <v>462</v>
      </c>
      <c r="C41" s="58" t="d">
        <v>2025-05-13</v>
      </c>
      <c r="D41" s="16"/>
      <c r="E41" s="155"/>
      <c r="F41" s="21"/>
      <c r="G41" s="36">
        <v>-130</v>
      </c>
      <c r="H41" s="20"/>
      <c r="I41" s="36">
        <f>I13+G41</f>
        <v>-130</v>
      </c>
      <c r="J41" s="31"/>
      <c r="K41" s="36" t="e">
        <f>I41/SUM($E$11:E41)</f>
        <v>#DIV/0!</v>
      </c>
    </row>
    <row r="42" spans="2:11" ht="16" x14ac:dyDescent="0.2">
      <c r="B42" s="39" t="s">
        <v>463</v>
      </c>
      <c r="C42" s="58" t="d">
        <v>2025-06-03</v>
      </c>
      <c r="D42" s="16"/>
      <c r="E42" s="155"/>
      <c r="F42" s="21"/>
      <c r="G42" s="36">
        <v>-142</v>
      </c>
      <c r="H42" s="17"/>
      <c r="I42" s="36">
        <f t="shared" ref="I42:I76" si="2">I41+G42</f>
        <v>-272</v>
      </c>
      <c r="J42" s="31"/>
      <c r="K42" s="36" t="e">
        <f>I42/SUM($E$11:E42)</f>
        <v>#DIV/0!</v>
      </c>
    </row>
    <row r="43" spans="2:11" ht="32" x14ac:dyDescent="0.2">
      <c r="B43" s="39" t="s">
        <v>464</v>
      </c>
      <c r="C43" s="58" t="d">
        <v>2025-06-13</v>
      </c>
      <c r="D43" s="16"/>
      <c r="E43" s="155"/>
      <c r="G43" s="36">
        <v>-112</v>
      </c>
      <c r="H43" s="17"/>
      <c r="I43" s="36">
        <f t="shared" si="2"/>
        <v>-384</v>
      </c>
      <c r="J43" s="31"/>
      <c r="K43" s="36" t="e">
        <f>I43/SUM($E$11:E43)</f>
        <v>#DIV/0!</v>
      </c>
    </row>
    <row r="44" spans="2:11" ht="32" x14ac:dyDescent="0.2">
      <c r="B44" s="39" t="s">
        <v>465</v>
      </c>
      <c r="C44" s="58" t="d">
        <v>2025-06-20</v>
      </c>
      <c r="D44" s="16"/>
      <c r="E44" s="155"/>
      <c r="F44" s="18"/>
      <c r="G44" s="36">
        <v>-7</v>
      </c>
      <c r="H44" s="17"/>
      <c r="I44" s="36">
        <f t="shared" si="2"/>
        <v>-391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-391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-391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-391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-391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-391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-391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-391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-391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-391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-391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-391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-391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-391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-391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-391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-391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-391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-391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-391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-391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-391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-391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-391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-391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-391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-391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-391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-391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-391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-391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-391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-391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-391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280" priority="13" stopIfTrue="1">
      <formula>J77="assigned"</formula>
    </cfRule>
    <cfRule type="expression" dxfId="279" priority="14">
      <formula>J77="expired"</formula>
    </cfRule>
  </conditionalFormatting>
  <conditionalFormatting sqref="B77:B116">
    <cfRule type="expression" dxfId="278" priority="11">
      <formula>AND(ISNUMBER(SEARCH("call", B77)), J77="expired")</formula>
    </cfRule>
    <cfRule type="expression" dxfId="277" priority="12">
      <formula>AND(ISNUMBER(SEARCH("call", B77)), J77="assigned")</formula>
    </cfRule>
  </conditionalFormatting>
  <conditionalFormatting sqref="B41:B42 B45:B76">
    <cfRule type="expression" dxfId="276" priority="6" stopIfTrue="1">
      <formula>J41="ROLL"</formula>
    </cfRule>
    <cfRule type="expression" dxfId="275" priority="7" stopIfTrue="1">
      <formula>AND(ISNUMBER(SEARCH("call", B41)), J41="expired")</formula>
    </cfRule>
    <cfRule type="expression" dxfId="274" priority="8" stopIfTrue="1">
      <formula>AND(ISNUMBER(SEARCH("call", B41)), J41="assigned")</formula>
    </cfRule>
    <cfRule type="expression" dxfId="273" priority="9" stopIfTrue="1">
      <formula>J41="assigned"</formula>
    </cfRule>
    <cfRule type="expression" dxfId="272" priority="10">
      <formula>J41="expired"</formula>
    </cfRule>
  </conditionalFormatting>
  <conditionalFormatting sqref="B43:B44">
    <cfRule type="expression" dxfId="271" priority="1" stopIfTrue="1">
      <formula>J43="ROLL"</formula>
    </cfRule>
    <cfRule type="expression" dxfId="270" priority="2" stopIfTrue="1">
      <formula>AND(ISNUMBER(SEARCH("call", B43)), J43="expired")</formula>
    </cfRule>
    <cfRule type="expression" dxfId="269" priority="3" stopIfTrue="1">
      <formula>AND(ISNUMBER(SEARCH("call", B43)), J43="assigned")</formula>
    </cfRule>
    <cfRule type="expression" dxfId="268" priority="4" stopIfTrue="1">
      <formula>J43="assigned"</formula>
    </cfRule>
    <cfRule type="expression" dxfId="267" priority="5">
      <formula>J43="expired"</formula>
    </cfRule>
  </conditionalFormatting>
  <pageMargins left="0.7" right="0.7" top="0.75" bottom="0.75" header="0.3" footer="0.3"/>
  <pageSetup paperSize="0" orientation="portrait" r:id="rId1"/>
</worksheet>
</file>

<file path=xl/worksheets/sheet2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7A52-C955-E545-8F9B-53AEE1AB8FEF}">
  <sheetPr codeName="Sheet38"/>
  <dimension ref="A1:N79"/>
  <sheetViews>
    <sheetView zoomScale="120" zoomScaleNormal="120" workbookViewId="0">
      <selection activeCell="G38" sqref="G38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267</v>
      </c>
      <c r="C1" s="197"/>
    </row>
    <row r="2" spans="2:14" x14ac:dyDescent="0.2">
      <c r="B2" s="1" t="s">
        <v>302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64.454999999999998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200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 t="s">
        <v>334</v>
      </c>
      <c r="C11" s="58" t="d">
        <v>2025-04-04</v>
      </c>
      <c r="D11" s="16"/>
      <c r="E11" s="157">
        <v>200</v>
      </c>
      <c r="F11" s="21">
        <v>70</v>
      </c>
      <c r="G11" s="44">
        <f>E11*F11</f>
        <v>14000</v>
      </c>
      <c r="H11" s="20"/>
      <c r="I11" s="36">
        <f>G11</f>
        <v>14000</v>
      </c>
      <c r="J11" s="31"/>
      <c r="K11" s="36">
        <f>I11/E11</f>
        <v>70</v>
      </c>
    </row>
    <row r="12" spans="2:14" x14ac:dyDescent="0.2">
      <c r="B12" s="15" t="s">
        <v>24</v>
      </c>
      <c r="C12" s="58" t="d">
        <v>2025-07-09</v>
      </c>
      <c r="D12" s="16"/>
      <c r="E12" s="157"/>
      <c r="F12" s="21"/>
      <c r="G12" s="36">
        <v>-46</v>
      </c>
      <c r="H12" s="20"/>
      <c r="I12" s="36">
        <f>I11+G12</f>
        <v>13954</v>
      </c>
      <c r="J12" s="31"/>
      <c r="K12" s="36">
        <f>I12/SUM($E$11:E12)</f>
        <v>69.77</v>
      </c>
    </row>
    <row r="13" spans="2:14" x14ac:dyDescent="0.2">
      <c r="B13" s="15" t="s">
        <v>24</v>
      </c>
      <c r="C13" s="58" t="d">
        <v>2025-10-15</v>
      </c>
      <c r="D13" s="16"/>
      <c r="E13" s="157"/>
      <c r="F13" s="21"/>
      <c r="G13" s="36">
        <v>-52</v>
      </c>
      <c r="H13" s="20"/>
      <c r="I13" s="36">
        <f>I12+G13</f>
        <v>13902</v>
      </c>
      <c r="J13" s="31"/>
      <c r="K13" s="36">
        <f>I13/SUM($E$11:E13)</f>
        <v>69.510000000000005</v>
      </c>
    </row>
    <row r="14" spans="2:14" x14ac:dyDescent="0.2">
      <c r="B14" s="15"/>
      <c r="C14" s="58"/>
      <c r="D14" s="16"/>
      <c r="E14" s="157"/>
      <c r="F14" s="21"/>
      <c r="G14" s="36">
        <f t="shared" ref="G13:G37" si="0">E14*F14</f>
        <v>0</v>
      </c>
      <c r="H14" s="20"/>
      <c r="I14" s="36">
        <f t="shared" ref="I14:I37" si="1">I13+G14</f>
        <v>13902</v>
      </c>
      <c r="J14" s="31"/>
      <c r="K14" s="36">
        <f>I14/SUM($E$11:E14)</f>
        <v>69.510000000000005</v>
      </c>
    </row>
    <row r="15" spans="2:14" x14ac:dyDescent="0.2">
      <c r="B15" s="15"/>
      <c r="C15" s="58"/>
      <c r="D15" s="16"/>
      <c r="E15" s="157"/>
      <c r="F15" s="21"/>
      <c r="G15" s="36">
        <f t="shared" si="0"/>
        <v>0</v>
      </c>
      <c r="H15" s="20"/>
      <c r="I15" s="36">
        <f t="shared" si="1"/>
        <v>13902</v>
      </c>
      <c r="J15" s="31"/>
      <c r="K15" s="36">
        <f>I15/SUM($E$11:E15)</f>
        <v>69.510000000000005</v>
      </c>
    </row>
    <row r="16" spans="2:14" x14ac:dyDescent="0.2">
      <c r="B16" s="15"/>
      <c r="C16" s="58"/>
      <c r="D16" s="16"/>
      <c r="E16" s="157"/>
      <c r="F16" s="21"/>
      <c r="G16" s="36">
        <f t="shared" si="0"/>
        <v>0</v>
      </c>
      <c r="H16" s="20"/>
      <c r="I16" s="36">
        <f t="shared" si="1"/>
        <v>13902</v>
      </c>
      <c r="J16" s="31"/>
      <c r="K16" s="36">
        <f>I16/SUM($E$11:E16)</f>
        <v>69.510000000000005</v>
      </c>
    </row>
    <row r="17" spans="2:11" x14ac:dyDescent="0.2">
      <c r="B17" s="15"/>
      <c r="C17" s="58"/>
      <c r="D17" s="16"/>
      <c r="E17" s="157"/>
      <c r="F17" s="21"/>
      <c r="G17" s="36">
        <f t="shared" si="0"/>
        <v>0</v>
      </c>
      <c r="H17" s="20"/>
      <c r="I17" s="36">
        <f t="shared" si="1"/>
        <v>13902</v>
      </c>
      <c r="J17" s="31"/>
      <c r="K17" s="36">
        <f>I17/SUM($E$11:E17)</f>
        <v>69.510000000000005</v>
      </c>
    </row>
    <row r="18" spans="2:11" x14ac:dyDescent="0.2">
      <c r="B18" s="15"/>
      <c r="C18" s="58"/>
      <c r="D18" s="16"/>
      <c r="E18" s="157"/>
      <c r="F18" s="21"/>
      <c r="G18" s="36">
        <f t="shared" si="0"/>
        <v>0</v>
      </c>
      <c r="H18" s="20"/>
      <c r="I18" s="36">
        <f t="shared" si="1"/>
        <v>13902</v>
      </c>
      <c r="J18" s="31"/>
      <c r="K18" s="36">
        <f>I18/SUM($E$11:E18)</f>
        <v>69.510000000000005</v>
      </c>
    </row>
    <row r="19" spans="2:11" x14ac:dyDescent="0.2">
      <c r="B19" s="15"/>
      <c r="C19" s="58"/>
      <c r="D19" s="16"/>
      <c r="E19" s="157"/>
      <c r="F19" s="21"/>
      <c r="G19" s="36">
        <f t="shared" si="0"/>
        <v>0</v>
      </c>
      <c r="H19" s="20"/>
      <c r="I19" s="36">
        <f t="shared" si="1"/>
        <v>13902</v>
      </c>
      <c r="J19" s="31"/>
      <c r="K19" s="36">
        <f>I19/SUM($E$11:E19)</f>
        <v>69.510000000000005</v>
      </c>
    </row>
    <row r="20" spans="2:11" x14ac:dyDescent="0.2">
      <c r="B20" s="15"/>
      <c r="C20" s="58"/>
      <c r="D20" s="16"/>
      <c r="E20" s="157"/>
      <c r="F20" s="21"/>
      <c r="G20" s="36">
        <f t="shared" si="0"/>
        <v>0</v>
      </c>
      <c r="H20" s="20"/>
      <c r="I20" s="36">
        <f t="shared" si="1"/>
        <v>13902</v>
      </c>
      <c r="J20" s="31"/>
      <c r="K20" s="36">
        <f>I20/SUM($E$11:E20)</f>
        <v>69.510000000000005</v>
      </c>
    </row>
    <row r="21" spans="2:11" x14ac:dyDescent="0.2">
      <c r="B21" s="15"/>
      <c r="C21" s="58"/>
      <c r="D21" s="16"/>
      <c r="E21" s="157"/>
      <c r="F21" s="21"/>
      <c r="G21" s="36">
        <f t="shared" si="0"/>
        <v>0</v>
      </c>
      <c r="H21" s="20"/>
      <c r="I21" s="36">
        <f t="shared" si="1"/>
        <v>13902</v>
      </c>
      <c r="J21" s="31"/>
      <c r="K21" s="36">
        <f>I21/SUM($E$11:E21)</f>
        <v>69.510000000000005</v>
      </c>
    </row>
    <row r="22" spans="2:11" x14ac:dyDescent="0.2">
      <c r="B22" s="15"/>
      <c r="C22" s="58"/>
      <c r="D22" s="16"/>
      <c r="E22" s="157"/>
      <c r="F22" s="21"/>
      <c r="G22" s="36">
        <f t="shared" si="0"/>
        <v>0</v>
      </c>
      <c r="H22" s="20"/>
      <c r="I22" s="36">
        <f t="shared" si="1"/>
        <v>13902</v>
      </c>
      <c r="J22" s="31"/>
      <c r="K22" s="36">
        <f>I22/SUM($E$11:E22)</f>
        <v>69.510000000000005</v>
      </c>
    </row>
    <row r="23" spans="2:11" x14ac:dyDescent="0.2">
      <c r="B23" s="15"/>
      <c r="C23" s="58"/>
      <c r="D23" s="16"/>
      <c r="E23" s="157"/>
      <c r="F23" s="21"/>
      <c r="G23" s="36">
        <f t="shared" si="0"/>
        <v>0</v>
      </c>
      <c r="H23" s="20"/>
      <c r="I23" s="36">
        <f t="shared" si="1"/>
        <v>13902</v>
      </c>
      <c r="J23" s="31"/>
      <c r="K23" s="36">
        <f>I23/SUM($E$11:E23)</f>
        <v>69.510000000000005</v>
      </c>
    </row>
    <row r="24" spans="2:11" x14ac:dyDescent="0.2">
      <c r="B24" s="15"/>
      <c r="C24" s="58"/>
      <c r="D24" s="16"/>
      <c r="E24" s="157"/>
      <c r="F24" s="21"/>
      <c r="G24" s="36">
        <f t="shared" si="0"/>
        <v>0</v>
      </c>
      <c r="H24" s="20"/>
      <c r="I24" s="36">
        <f t="shared" si="1"/>
        <v>13902</v>
      </c>
      <c r="J24" s="31"/>
      <c r="K24" s="36">
        <f>I24/SUM($E$11:E24)</f>
        <v>69.510000000000005</v>
      </c>
    </row>
    <row r="25" spans="2:11" x14ac:dyDescent="0.2">
      <c r="B25" s="15"/>
      <c r="C25" s="58"/>
      <c r="D25" s="16"/>
      <c r="E25" s="157"/>
      <c r="F25" s="21"/>
      <c r="G25" s="36">
        <f t="shared" si="0"/>
        <v>0</v>
      </c>
      <c r="H25" s="20"/>
      <c r="I25" s="36">
        <f t="shared" si="1"/>
        <v>13902</v>
      </c>
      <c r="J25" s="31"/>
      <c r="K25" s="36">
        <f>I25/SUM($E$11:E25)</f>
        <v>69.510000000000005</v>
      </c>
    </row>
    <row r="26" spans="2:11" x14ac:dyDescent="0.2">
      <c r="B26" s="15"/>
      <c r="C26" s="58"/>
      <c r="D26" s="16"/>
      <c r="E26" s="157"/>
      <c r="F26" s="21"/>
      <c r="G26" s="36">
        <f t="shared" si="0"/>
        <v>0</v>
      </c>
      <c r="H26" s="20"/>
      <c r="I26" s="36">
        <f t="shared" si="1"/>
        <v>13902</v>
      </c>
      <c r="J26" s="31"/>
      <c r="K26" s="36">
        <f>I26/SUM($E$11:E26)</f>
        <v>69.510000000000005</v>
      </c>
    </row>
    <row r="27" spans="2:11" x14ac:dyDescent="0.2">
      <c r="B27" s="15"/>
      <c r="C27" s="58"/>
      <c r="D27" s="16"/>
      <c r="E27" s="157"/>
      <c r="F27" s="21"/>
      <c r="G27" s="36">
        <f t="shared" si="0"/>
        <v>0</v>
      </c>
      <c r="H27" s="20"/>
      <c r="I27" s="36">
        <f t="shared" si="1"/>
        <v>13902</v>
      </c>
      <c r="J27" s="31"/>
      <c r="K27" s="36">
        <f>I27/SUM($E$11:E27)</f>
        <v>69.510000000000005</v>
      </c>
    </row>
    <row r="28" spans="2:11" x14ac:dyDescent="0.2">
      <c r="B28" s="15"/>
      <c r="C28" s="58"/>
      <c r="D28" s="16"/>
      <c r="E28" s="157"/>
      <c r="F28" s="21"/>
      <c r="G28" s="36">
        <f t="shared" si="0"/>
        <v>0</v>
      </c>
      <c r="H28" s="20"/>
      <c r="I28" s="36">
        <f t="shared" si="1"/>
        <v>13902</v>
      </c>
      <c r="J28" s="31"/>
      <c r="K28" s="36">
        <f>I28/SUM($E$11:E28)</f>
        <v>69.510000000000005</v>
      </c>
    </row>
    <row r="29" spans="2:11" x14ac:dyDescent="0.2">
      <c r="B29" s="15"/>
      <c r="C29" s="58"/>
      <c r="D29" s="16"/>
      <c r="E29" s="157"/>
      <c r="F29" s="21"/>
      <c r="G29" s="36">
        <f t="shared" si="0"/>
        <v>0</v>
      </c>
      <c r="H29" s="20"/>
      <c r="I29" s="36">
        <f t="shared" si="1"/>
        <v>13902</v>
      </c>
      <c r="J29" s="31"/>
      <c r="K29" s="36">
        <f>I29/SUM($E$11:E29)</f>
        <v>69.510000000000005</v>
      </c>
    </row>
    <row r="30" spans="2:11" x14ac:dyDescent="0.2">
      <c r="B30" s="15"/>
      <c r="C30" s="58"/>
      <c r="D30" s="16"/>
      <c r="E30" s="157"/>
      <c r="F30" s="21"/>
      <c r="G30" s="36">
        <f t="shared" si="0"/>
        <v>0</v>
      </c>
      <c r="H30" s="20"/>
      <c r="I30" s="36">
        <f t="shared" si="1"/>
        <v>13902</v>
      </c>
      <c r="J30" s="31"/>
      <c r="K30" s="36">
        <f>I30/SUM($E$11:E30)</f>
        <v>69.510000000000005</v>
      </c>
    </row>
    <row r="31" spans="2:11" x14ac:dyDescent="0.2">
      <c r="B31" s="15"/>
      <c r="C31" s="58"/>
      <c r="D31" s="16"/>
      <c r="E31" s="157"/>
      <c r="F31" s="21"/>
      <c r="G31" s="36">
        <f t="shared" si="0"/>
        <v>0</v>
      </c>
      <c r="H31" s="20"/>
      <c r="I31" s="36">
        <f t="shared" si="1"/>
        <v>13902</v>
      </c>
      <c r="J31" s="31"/>
      <c r="K31" s="36">
        <f>I31/SUM($E$11:E31)</f>
        <v>69.510000000000005</v>
      </c>
    </row>
    <row r="32" spans="2:11" x14ac:dyDescent="0.2">
      <c r="B32" s="15"/>
      <c r="C32" s="58"/>
      <c r="D32" s="16"/>
      <c r="E32" s="157"/>
      <c r="F32" s="21"/>
      <c r="G32" s="36">
        <f t="shared" si="0"/>
        <v>0</v>
      </c>
      <c r="H32" s="20"/>
      <c r="I32" s="36">
        <f t="shared" si="1"/>
        <v>13902</v>
      </c>
      <c r="J32" s="31"/>
      <c r="K32" s="36">
        <f>I32/SUM($E$11:E32)</f>
        <v>69.510000000000005</v>
      </c>
    </row>
    <row r="33" spans="1:11" x14ac:dyDescent="0.2">
      <c r="B33" s="15"/>
      <c r="C33" s="58"/>
      <c r="D33" s="16"/>
      <c r="E33" s="157"/>
      <c r="F33" s="21"/>
      <c r="G33" s="36">
        <f t="shared" si="0"/>
        <v>0</v>
      </c>
      <c r="H33" s="20"/>
      <c r="I33" s="36">
        <f t="shared" si="1"/>
        <v>13902</v>
      </c>
      <c r="J33" s="31"/>
      <c r="K33" s="36">
        <f>I33/SUM($E$11:E33)</f>
        <v>69.510000000000005</v>
      </c>
    </row>
    <row r="34" spans="1:11" x14ac:dyDescent="0.2">
      <c r="B34" s="15"/>
      <c r="C34" s="58"/>
      <c r="D34" s="16"/>
      <c r="E34" s="157"/>
      <c r="F34" s="21"/>
      <c r="G34" s="36">
        <f t="shared" si="0"/>
        <v>0</v>
      </c>
      <c r="H34" s="20"/>
      <c r="I34" s="36">
        <f t="shared" si="1"/>
        <v>13902</v>
      </c>
      <c r="J34" s="31"/>
      <c r="K34" s="36">
        <f>I34/SUM($E$11:E34)</f>
        <v>69.510000000000005</v>
      </c>
    </row>
    <row r="35" spans="1:11" x14ac:dyDescent="0.2">
      <c r="B35" s="15"/>
      <c r="C35" s="58"/>
      <c r="D35" s="16"/>
      <c r="E35" s="157"/>
      <c r="F35" s="21"/>
      <c r="G35" s="36">
        <f t="shared" si="0"/>
        <v>0</v>
      </c>
      <c r="H35" s="20"/>
      <c r="I35" s="36">
        <f t="shared" si="1"/>
        <v>13902</v>
      </c>
      <c r="J35" s="31"/>
      <c r="K35" s="36">
        <f>I35/SUM($E$11:E35)</f>
        <v>69.510000000000005</v>
      </c>
    </row>
    <row r="36" spans="1:11" x14ac:dyDescent="0.2">
      <c r="B36" s="15"/>
      <c r="C36" s="58"/>
      <c r="D36" s="16"/>
      <c r="E36" s="157"/>
      <c r="F36" s="21"/>
      <c r="G36" s="36">
        <f t="shared" si="0"/>
        <v>0</v>
      </c>
      <c r="H36" s="20"/>
      <c r="I36" s="36">
        <f>I19+G36</f>
        <v>13902</v>
      </c>
      <c r="J36" s="31"/>
      <c r="K36" s="36">
        <f>I36/SUM($E$11:E36)</f>
        <v>69.510000000000005</v>
      </c>
    </row>
    <row r="37" spans="1:11" x14ac:dyDescent="0.2">
      <c r="B37" s="15"/>
      <c r="C37" s="58"/>
      <c r="D37" s="16"/>
      <c r="E37" s="157"/>
      <c r="F37" s="21"/>
      <c r="G37" s="36">
        <f t="shared" si="0"/>
        <v>0</v>
      </c>
      <c r="H37" s="20"/>
      <c r="I37" s="36">
        <f t="shared" si="1"/>
        <v>13902</v>
      </c>
      <c r="J37" s="31"/>
      <c r="K37" s="36">
        <f>I37/SUM($E$11:E37)</f>
        <v>69.510000000000005</v>
      </c>
    </row>
    <row r="38" spans="1:11" ht="19" x14ac:dyDescent="0.25">
      <c r="B38" s="15"/>
      <c r="C38" s="58"/>
      <c r="D38" s="16"/>
      <c r="E38" s="155"/>
      <c r="F38" s="18"/>
      <c r="G38" s="137">
        <f>SUM(G11:G37)</f>
        <v>13902</v>
      </c>
      <c r="H38" s="20"/>
      <c r="I38" s="19"/>
      <c r="J38" s="31"/>
      <c r="K38" s="137">
        <f>SUM(G11:G37)/SUM(E11:E38)</f>
        <v>69.510000000000005</v>
      </c>
    </row>
    <row r="39" spans="1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1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1:11" ht="16" x14ac:dyDescent="0.2">
      <c r="A41" t="s">
        <v>319</v>
      </c>
      <c r="B41" s="39" t="s">
        <v>297</v>
      </c>
      <c r="C41" s="58" t="d">
        <v>2025-02-12</v>
      </c>
      <c r="D41" s="16"/>
      <c r="E41" s="155"/>
      <c r="F41" s="21"/>
      <c r="G41" s="36">
        <f>-41*2</f>
        <v>-82</v>
      </c>
      <c r="H41" s="20"/>
      <c r="I41" s="36">
        <f>I13+G41</f>
        <v>13820</v>
      </c>
      <c r="J41" s="31" t="s">
        <v>10</v>
      </c>
      <c r="K41" s="36">
        <f>I41/SUM($E$11:E41)</f>
        <v>69.099999999999994</v>
      </c>
    </row>
    <row r="42" spans="1:11" ht="16" x14ac:dyDescent="0.2">
      <c r="A42" t="s">
        <v>319</v>
      </c>
      <c r="B42" s="39" t="s">
        <v>298</v>
      </c>
      <c r="C42" s="58" t="d">
        <v>2025-02-18</v>
      </c>
      <c r="D42" s="16"/>
      <c r="E42" s="155"/>
      <c r="F42" s="21"/>
      <c r="G42" s="36">
        <f>-5*51</f>
        <v>-255</v>
      </c>
      <c r="H42" s="17"/>
      <c r="I42" s="36">
        <f t="shared" ref="I42:I76" si="2">I41+G42</f>
        <v>13565</v>
      </c>
      <c r="J42" s="31" t="s">
        <v>281</v>
      </c>
      <c r="K42" s="36">
        <f>I42/SUM($E$11:E42)</f>
        <v>67.825000000000003</v>
      </c>
    </row>
    <row r="43" spans="1:11" ht="32" x14ac:dyDescent="0.2">
      <c r="A43" t="s">
        <v>319</v>
      </c>
      <c r="B43" s="39" t="s">
        <v>299</v>
      </c>
      <c r="C43" s="58" t="d">
        <v>2025-02-25</v>
      </c>
      <c r="D43" s="16"/>
      <c r="E43" s="155"/>
      <c r="G43" s="36">
        <v>5</v>
      </c>
      <c r="H43" s="17"/>
      <c r="I43" s="36">
        <f t="shared" si="2"/>
        <v>13570</v>
      </c>
      <c r="J43" s="31" t="s">
        <v>281</v>
      </c>
      <c r="K43" s="36">
        <f>I43/SUM($E$11:E43)</f>
        <v>67.849999999999994</v>
      </c>
    </row>
    <row r="44" spans="1:11" ht="32" x14ac:dyDescent="0.2">
      <c r="A44" t="s">
        <v>319</v>
      </c>
      <c r="B44" s="39" t="s">
        <v>300</v>
      </c>
      <c r="C44" s="58" t="d">
        <v>2025-03-04</v>
      </c>
      <c r="D44" s="16"/>
      <c r="E44" s="155"/>
      <c r="F44" s="18"/>
      <c r="G44" s="36">
        <f>-5*5</f>
        <v>-25</v>
      </c>
      <c r="H44" s="17"/>
      <c r="I44" s="36">
        <f t="shared" si="2"/>
        <v>13545</v>
      </c>
      <c r="J44" s="31" t="s">
        <v>10</v>
      </c>
      <c r="K44" s="36">
        <f>I44/SUM($E$11:E44)</f>
        <v>67.724999999999994</v>
      </c>
    </row>
    <row r="45" spans="1:11" ht="16" x14ac:dyDescent="0.2">
      <c r="A45" t="s">
        <v>319</v>
      </c>
      <c r="B45" s="39" t="s">
        <v>301</v>
      </c>
      <c r="C45" s="58" t="d">
        <v>2025-03-10</v>
      </c>
      <c r="D45" s="16"/>
      <c r="E45" s="155"/>
      <c r="F45" s="18"/>
      <c r="G45" s="36">
        <v>-20</v>
      </c>
      <c r="H45" s="17"/>
      <c r="I45" s="36">
        <f t="shared" si="2"/>
        <v>13525</v>
      </c>
      <c r="J45" s="31" t="s">
        <v>10</v>
      </c>
      <c r="K45" s="36">
        <f>I45/SUM($E$11:E45)</f>
        <v>67.625</v>
      </c>
    </row>
    <row r="46" spans="1:11" ht="16" x14ac:dyDescent="0.2">
      <c r="A46" t="s">
        <v>320</v>
      </c>
      <c r="B46" s="39" t="s">
        <v>323</v>
      </c>
      <c r="C46" s="58" t="d">
        <v>2025-03-21</v>
      </c>
      <c r="D46" s="16"/>
      <c r="E46" s="155"/>
      <c r="F46" s="18"/>
      <c r="G46" s="36">
        <v>-32</v>
      </c>
      <c r="H46" s="17"/>
      <c r="I46" s="36">
        <f t="shared" si="2"/>
        <v>13493</v>
      </c>
      <c r="J46" s="31" t="s">
        <v>10</v>
      </c>
      <c r="K46" s="36">
        <f>I46/SUM($E$11:E46)</f>
        <v>67.465000000000003</v>
      </c>
    </row>
    <row r="47" spans="1:11" ht="16" x14ac:dyDescent="0.2">
      <c r="A47" t="s">
        <v>319</v>
      </c>
      <c r="B47" s="39" t="s">
        <v>324</v>
      </c>
      <c r="C47" s="58" t="d">
        <v>2025-03-24</v>
      </c>
      <c r="D47" s="16"/>
      <c r="E47" s="155"/>
      <c r="F47" s="18"/>
      <c r="G47" s="36">
        <f>-17*2</f>
        <v>-34</v>
      </c>
      <c r="H47" s="17"/>
      <c r="I47" s="36">
        <f t="shared" si="2"/>
        <v>13459</v>
      </c>
      <c r="J47" s="31" t="s">
        <v>281</v>
      </c>
      <c r="K47" s="36">
        <f>I47/SUM($E$11:E47)</f>
        <v>67.295000000000002</v>
      </c>
    </row>
    <row r="48" spans="1:11" ht="32" x14ac:dyDescent="0.2">
      <c r="A48" t="s">
        <v>319</v>
      </c>
      <c r="B48" s="39" t="s">
        <v>325</v>
      </c>
      <c r="C48" s="58" t="d">
        <v>2025-03-28</v>
      </c>
      <c r="D48" s="16"/>
      <c r="E48" s="155"/>
      <c r="F48" s="18"/>
      <c r="G48" s="36">
        <f>-2*36</f>
        <v>-72</v>
      </c>
      <c r="H48" s="17"/>
      <c r="I48" s="36">
        <f t="shared" si="2"/>
        <v>13387</v>
      </c>
      <c r="J48" s="31" t="s">
        <v>122</v>
      </c>
      <c r="K48" s="36">
        <f>I48/SUM($E$11:E48)</f>
        <v>66.935000000000002</v>
      </c>
    </row>
    <row r="49" spans="2:11" ht="16" x14ac:dyDescent="0.2">
      <c r="B49" s="39" t="s">
        <v>335</v>
      </c>
      <c r="C49" s="58" t="d">
        <v>2025-04-08</v>
      </c>
      <c r="D49" s="16"/>
      <c r="E49" s="155"/>
      <c r="F49" s="18"/>
      <c r="G49" s="36">
        <v>-17</v>
      </c>
      <c r="H49" s="20"/>
      <c r="I49" s="36">
        <f t="shared" si="2"/>
        <v>13370</v>
      </c>
      <c r="J49" s="31" t="s">
        <v>10</v>
      </c>
      <c r="K49" s="36">
        <f>I49/SUM($E$11:E49)</f>
        <v>66.849999999999994</v>
      </c>
    </row>
    <row r="50" spans="2:11" ht="17" customHeight="1" x14ac:dyDescent="0.2">
      <c r="B50" s="39" t="s">
        <v>336</v>
      </c>
      <c r="C50" s="58" t="d">
        <v>2025-04-08</v>
      </c>
      <c r="D50" s="16"/>
      <c r="E50" s="155"/>
      <c r="F50" s="18"/>
      <c r="G50" s="36">
        <v>-40</v>
      </c>
      <c r="H50" s="20"/>
      <c r="I50" s="36">
        <f t="shared" si="2"/>
        <v>13330</v>
      </c>
      <c r="J50" s="31" t="s">
        <v>10</v>
      </c>
      <c r="K50" s="36">
        <f>I50/SUM($E$11:E50)</f>
        <v>66.650000000000006</v>
      </c>
    </row>
    <row r="51" spans="2:11" ht="16" x14ac:dyDescent="0.2">
      <c r="B51" s="39" t="s">
        <v>337</v>
      </c>
      <c r="C51" s="58" t="d">
        <v>2025-04-08</v>
      </c>
      <c r="D51" s="16"/>
      <c r="E51" s="155"/>
      <c r="F51" s="18"/>
      <c r="G51" s="36">
        <v>-17</v>
      </c>
      <c r="H51" s="20"/>
      <c r="I51" s="36">
        <f t="shared" si="2"/>
        <v>13313</v>
      </c>
      <c r="J51" s="31" t="s">
        <v>10</v>
      </c>
      <c r="K51" s="36">
        <f>I51/SUM($E$11:E51)</f>
        <v>66.564999999999998</v>
      </c>
    </row>
    <row r="52" spans="2:11" ht="16" x14ac:dyDescent="0.2">
      <c r="B52" s="39" t="s">
        <v>363</v>
      </c>
      <c r="C52" s="58" t="d">
        <v>2025-04-21</v>
      </c>
      <c r="D52" s="16"/>
      <c r="E52" s="155"/>
      <c r="F52" s="18"/>
      <c r="G52" s="36">
        <v>-22</v>
      </c>
      <c r="H52" s="20"/>
      <c r="I52" s="36">
        <f t="shared" si="2"/>
        <v>13291</v>
      </c>
      <c r="J52" s="31" t="s">
        <v>10</v>
      </c>
      <c r="K52" s="36">
        <f>I52/SUM($E$11:E52)</f>
        <v>66.454999999999998</v>
      </c>
    </row>
    <row r="53" spans="2:11" ht="18" customHeight="1" x14ac:dyDescent="0.2">
      <c r="B53" s="39" t="s">
        <v>364</v>
      </c>
      <c r="C53" s="58" t="d">
        <v>2025-04-21</v>
      </c>
      <c r="D53" s="16"/>
      <c r="E53" s="155"/>
      <c r="F53" s="18"/>
      <c r="G53" s="36">
        <v>-11</v>
      </c>
      <c r="H53" s="20"/>
      <c r="I53" s="36">
        <f t="shared" si="2"/>
        <v>13280</v>
      </c>
      <c r="J53" s="31" t="s">
        <v>10</v>
      </c>
      <c r="K53" s="36">
        <f>I53/SUM($E$11:E53)</f>
        <v>66.400000000000006</v>
      </c>
    </row>
    <row r="54" spans="2:11" ht="16" x14ac:dyDescent="0.2">
      <c r="B54" s="39" t="s">
        <v>407</v>
      </c>
      <c r="C54" s="58" t="d">
        <v>2025-04-30</v>
      </c>
      <c r="D54" s="16"/>
      <c r="E54" s="155"/>
      <c r="F54" s="18"/>
      <c r="G54" s="36">
        <f>-37*2</f>
        <v>-74</v>
      </c>
      <c r="H54" s="20"/>
      <c r="I54" s="36">
        <f t="shared" si="2"/>
        <v>13206</v>
      </c>
      <c r="J54" s="31" t="s">
        <v>10</v>
      </c>
      <c r="K54" s="36">
        <f>I54/SUM($E$11:E54)</f>
        <v>66.03</v>
      </c>
    </row>
    <row r="55" spans="2:11" ht="16" x14ac:dyDescent="0.2">
      <c r="B55" s="39" t="s">
        <v>442</v>
      </c>
      <c r="C55" s="58" t="d">
        <v>2025-05-13</v>
      </c>
      <c r="D55" s="16"/>
      <c r="E55" s="155"/>
      <c r="F55" s="18"/>
      <c r="G55" s="36">
        <v>-53</v>
      </c>
      <c r="H55" s="20"/>
      <c r="I55" s="36">
        <f t="shared" si="2"/>
        <v>13153</v>
      </c>
      <c r="J55" s="31" t="s">
        <v>10</v>
      </c>
      <c r="K55" s="36">
        <f>I55/SUM($E$11:E55)</f>
        <v>65.765000000000001</v>
      </c>
    </row>
    <row r="56" spans="2:11" ht="16" customHeight="1" x14ac:dyDescent="0.2">
      <c r="B56" s="39" t="s">
        <v>445</v>
      </c>
      <c r="C56" s="58" t="d">
        <v>2025-05-23</v>
      </c>
      <c r="D56" s="16"/>
      <c r="E56" s="155"/>
      <c r="F56" s="18"/>
      <c r="G56" s="36">
        <v>-35</v>
      </c>
      <c r="H56" s="20"/>
      <c r="I56" s="36">
        <f t="shared" si="2"/>
        <v>13118</v>
      </c>
      <c r="J56" s="31" t="s">
        <v>10</v>
      </c>
      <c r="K56" s="36">
        <f>I56/SUM($E$11:E56)</f>
        <v>65.59</v>
      </c>
    </row>
    <row r="57" spans="2:11" ht="18" customHeight="1" x14ac:dyDescent="0.2">
      <c r="B57" s="39" t="s">
        <v>457</v>
      </c>
      <c r="C57" s="58" t="d">
        <v>2025-05-27</v>
      </c>
      <c r="D57" s="16"/>
      <c r="E57" s="155"/>
      <c r="F57" s="18"/>
      <c r="G57" s="36">
        <v>-47</v>
      </c>
      <c r="H57" s="20"/>
      <c r="I57" s="36">
        <f t="shared" si="2"/>
        <v>13071</v>
      </c>
      <c r="J57" s="31" t="s">
        <v>10</v>
      </c>
      <c r="K57" s="36">
        <f>I57/SUM($E$11:E57)</f>
        <v>65.355000000000004</v>
      </c>
    </row>
    <row r="58" spans="2:11" ht="16" x14ac:dyDescent="0.2">
      <c r="B58" s="39" t="s">
        <v>458</v>
      </c>
      <c r="C58" s="58" t="d">
        <v>2025-06-10</v>
      </c>
      <c r="D58" s="16"/>
      <c r="E58" s="155"/>
      <c r="F58" s="18"/>
      <c r="G58" s="36">
        <v>-55</v>
      </c>
      <c r="H58" s="20"/>
      <c r="I58" s="36">
        <f t="shared" si="2"/>
        <v>13016</v>
      </c>
      <c r="J58" s="31" t="s">
        <v>10</v>
      </c>
      <c r="K58" s="36">
        <f>I58/SUM($E$11:E58)</f>
        <v>65.08</v>
      </c>
    </row>
    <row r="59" spans="2:11" ht="16" x14ac:dyDescent="0.2">
      <c r="B59" s="39" t="s">
        <v>576</v>
      </c>
      <c r="C59" s="58" t="d">
        <v>2025-07-08</v>
      </c>
      <c r="D59" s="16"/>
      <c r="E59" s="155"/>
      <c r="F59" s="18"/>
      <c r="G59" s="36">
        <v>-53</v>
      </c>
      <c r="H59" s="20"/>
      <c r="I59" s="36">
        <f t="shared" si="2"/>
        <v>12963</v>
      </c>
      <c r="J59" s="31" t="s">
        <v>10</v>
      </c>
      <c r="K59" s="36">
        <f>I59/SUM($E$11:E59)</f>
        <v>64.814999999999998</v>
      </c>
    </row>
    <row r="60" spans="2:11" ht="32" x14ac:dyDescent="0.2">
      <c r="B60" s="39" t="s">
        <v>577</v>
      </c>
      <c r="C60" s="58" t="d">
        <v>2025-09-23</v>
      </c>
      <c r="D60" s="16"/>
      <c r="E60" s="155"/>
      <c r="F60" s="18"/>
      <c r="G60" s="36">
        <v>-72</v>
      </c>
      <c r="H60" s="20"/>
      <c r="I60" s="36">
        <f t="shared" si="2"/>
        <v>12891</v>
      </c>
      <c r="J60" s="31"/>
      <c r="K60" s="36">
        <f>I60/SUM($E$11:E60)</f>
        <v>64.454999999999998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12891</v>
      </c>
      <c r="J61" s="31"/>
      <c r="K61" s="36">
        <f>I61/SUM($E$11:E61)</f>
        <v>64.454999999999998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12891</v>
      </c>
      <c r="J62" s="31"/>
      <c r="K62" s="36">
        <f>I62/SUM($E$11:E62)</f>
        <v>64.454999999999998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12891</v>
      </c>
      <c r="J63" s="31"/>
      <c r="K63" s="36">
        <f>I63/SUM($E$11:E63)</f>
        <v>64.454999999999998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12891</v>
      </c>
      <c r="J64" s="31"/>
      <c r="K64" s="36">
        <f>I64/SUM($E$11:E64)</f>
        <v>64.454999999999998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12891</v>
      </c>
      <c r="J65" s="31"/>
      <c r="K65" s="36">
        <f>I65/SUM($E$11:E65)</f>
        <v>64.454999999999998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12891</v>
      </c>
      <c r="J66" s="31"/>
      <c r="K66" s="36">
        <f>I66/SUM($E$11:E66)</f>
        <v>64.454999999999998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12891</v>
      </c>
      <c r="J67" s="31"/>
      <c r="K67" s="36">
        <f>I67/SUM($E$11:E67)</f>
        <v>64.454999999999998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12891</v>
      </c>
      <c r="J68" s="31"/>
      <c r="K68" s="36">
        <f>I68/SUM($E$11:E68)</f>
        <v>64.454999999999998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12891</v>
      </c>
      <c r="J69" s="31"/>
      <c r="K69" s="36">
        <f>I69/SUM($E$11:E69)</f>
        <v>64.454999999999998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12891</v>
      </c>
      <c r="J70" s="31"/>
      <c r="K70" s="36">
        <f>I70/SUM($E$11:E70)</f>
        <v>64.454999999999998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12891</v>
      </c>
      <c r="J71" s="31"/>
      <c r="K71" s="36">
        <f>I71/SUM($E$11:E71)</f>
        <v>64.454999999999998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12891</v>
      </c>
      <c r="J72" s="31"/>
      <c r="K72" s="36">
        <f>I72/SUM($E$11:E72)</f>
        <v>64.454999999999998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12891</v>
      </c>
      <c r="J73" s="31"/>
      <c r="K73" s="36">
        <f>I73/SUM($E$11:E73)</f>
        <v>64.454999999999998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12891</v>
      </c>
      <c r="J74" s="31"/>
      <c r="K74" s="36">
        <f>I74/SUM($E$11:E74)</f>
        <v>64.454999999999998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12891</v>
      </c>
      <c r="J75" s="31"/>
      <c r="K75" s="36">
        <f>I75/SUM($E$11:E75)</f>
        <v>64.454999999999998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12891</v>
      </c>
      <c r="J76" s="31"/>
      <c r="K76" s="36">
        <f>I76/SUM($E$11:E76)</f>
        <v>64.454999999999998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-1011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266" priority="8" stopIfTrue="1">
      <formula>J77="assigned"</formula>
    </cfRule>
    <cfRule type="expression" dxfId="265" priority="9">
      <formula>J77="expired"</formula>
    </cfRule>
  </conditionalFormatting>
  <conditionalFormatting sqref="B77:B116">
    <cfRule type="expression" dxfId="264" priority="6">
      <formula>AND(ISNUMBER(SEARCH("call", B77)), J77="expired")</formula>
    </cfRule>
    <cfRule type="expression" dxfId="263" priority="7">
      <formula>AND(ISNUMBER(SEARCH("call", B77)), J77="assigned")</formula>
    </cfRule>
  </conditionalFormatting>
  <conditionalFormatting sqref="B41:B76">
    <cfRule type="expression" dxfId="262" priority="1" stopIfTrue="1">
      <formula>J41="ROLL"</formula>
    </cfRule>
    <cfRule type="expression" dxfId="261" priority="2" stopIfTrue="1">
      <formula>AND(ISNUMBER(SEARCH("call", B41)), J41="expired")</formula>
    </cfRule>
    <cfRule type="expression" dxfId="260" priority="3" stopIfTrue="1">
      <formula>AND(ISNUMBER(SEARCH("call", B41)), J41="assigned")</formula>
    </cfRule>
    <cfRule type="expression" dxfId="259" priority="4" stopIfTrue="1">
      <formula>J41="assigned"</formula>
    </cfRule>
    <cfRule type="expression" dxfId="258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2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17AF-9A1F-3D4D-9E8C-A46E7DDF4710}">
  <sheetPr codeName="Sheet46"/>
  <dimension ref="A1:N79"/>
  <sheetViews>
    <sheetView topLeftCell="A2" zoomScale="120" zoomScaleNormal="120" workbookViewId="0">
      <selection activeCell="F38" sqref="F38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267</v>
      </c>
      <c r="C1" s="197"/>
    </row>
    <row r="2" spans="2:14" x14ac:dyDescent="0.2">
      <c r="B2" s="1" t="s">
        <v>302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-32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>
        <v>70</v>
      </c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>
        <v>49</v>
      </c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>
        <v>48.5</v>
      </c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1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1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1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1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1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1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1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1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1:11" ht="16" x14ac:dyDescent="0.2">
      <c r="A41" t="s">
        <v>319</v>
      </c>
      <c r="B41" s="39" t="s">
        <v>323</v>
      </c>
      <c r="C41" s="58" t="d">
        <v>2025-03-21</v>
      </c>
      <c r="D41" s="16"/>
      <c r="E41" s="155"/>
      <c r="F41" s="21"/>
      <c r="G41" s="36">
        <v>-32</v>
      </c>
      <c r="H41" s="20"/>
      <c r="I41" s="36">
        <f>I13+G41</f>
        <v>-32</v>
      </c>
      <c r="J41" s="31" t="s">
        <v>10</v>
      </c>
      <c r="K41" s="36" t="e">
        <f>I41/SUM($E$11:E41)</f>
        <v>#DIV/0!</v>
      </c>
    </row>
    <row r="42" spans="1:11" x14ac:dyDescent="0.2">
      <c r="A42" t="s">
        <v>319</v>
      </c>
      <c r="B42" s="39"/>
      <c r="C42" s="58"/>
      <c r="D42" s="16"/>
      <c r="E42" s="155"/>
      <c r="F42" s="21"/>
      <c r="G42" s="36">
        <v>0</v>
      </c>
      <c r="H42" s="17"/>
      <c r="I42" s="36">
        <f t="shared" ref="I42:I76" si="2">I41+G42</f>
        <v>-32</v>
      </c>
      <c r="J42" s="31"/>
      <c r="K42" s="36" t="e">
        <f>I42/SUM($E$11:E42)</f>
        <v>#DIV/0!</v>
      </c>
    </row>
    <row r="43" spans="1:11" x14ac:dyDescent="0.2">
      <c r="A43" t="s">
        <v>319</v>
      </c>
      <c r="B43" s="39"/>
      <c r="C43" s="58"/>
      <c r="D43" s="16"/>
      <c r="E43" s="155"/>
      <c r="G43" s="36">
        <v>0</v>
      </c>
      <c r="H43" s="17"/>
      <c r="I43" s="36">
        <f t="shared" si="2"/>
        <v>-32</v>
      </c>
      <c r="J43" s="31"/>
      <c r="K43" s="36" t="e">
        <f>I43/SUM($E$11:E43)</f>
        <v>#DIV/0!</v>
      </c>
    </row>
    <row r="44" spans="1:11" x14ac:dyDescent="0.2">
      <c r="A44" t="s">
        <v>319</v>
      </c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-32</v>
      </c>
      <c r="J44" s="31"/>
      <c r="K44" s="36" t="e">
        <f>I44/SUM($E$11:E44)</f>
        <v>#DIV/0!</v>
      </c>
    </row>
    <row r="45" spans="1:11" x14ac:dyDescent="0.2">
      <c r="A45" t="s">
        <v>319</v>
      </c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-32</v>
      </c>
      <c r="J45" s="31"/>
      <c r="K45" s="36" t="e">
        <f>I45/SUM($E$11:E45)</f>
        <v>#DIV/0!</v>
      </c>
    </row>
    <row r="46" spans="1:11" x14ac:dyDescent="0.2">
      <c r="A46" t="s">
        <v>320</v>
      </c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-32</v>
      </c>
      <c r="J46" s="31"/>
      <c r="K46" s="36" t="e">
        <f>I46/SUM($E$11:E46)</f>
        <v>#DIV/0!</v>
      </c>
    </row>
    <row r="47" spans="1:11" x14ac:dyDescent="0.2">
      <c r="A47" t="s">
        <v>319</v>
      </c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-32</v>
      </c>
      <c r="J47" s="31"/>
      <c r="K47" s="36" t="e">
        <f>I47/SUM($E$11:E47)</f>
        <v>#DIV/0!</v>
      </c>
    </row>
    <row r="48" spans="1:11" x14ac:dyDescent="0.2">
      <c r="A48" t="s">
        <v>319</v>
      </c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-32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-32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-32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-32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-32</v>
      </c>
      <c r="J52" s="31"/>
      <c r="K52" s="36" t="e">
        <f>I52/SUM($E$11:E52)</f>
        <v>#DIV/0!</v>
      </c>
    </row>
    <row r="53" spans="2:11" ht="18" customHeight="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-32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-32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-32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-32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-32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-32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-32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-32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-32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-32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-32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-32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-32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-32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-32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-32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-32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-32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-32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-32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-32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-32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-32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-32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-32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257" priority="8" stopIfTrue="1">
      <formula>J77="assigned"</formula>
    </cfRule>
    <cfRule type="expression" dxfId="256" priority="9">
      <formula>J77="expired"</formula>
    </cfRule>
  </conditionalFormatting>
  <conditionalFormatting sqref="B77:B116">
    <cfRule type="expression" dxfId="255" priority="6">
      <formula>AND(ISNUMBER(SEARCH("call", B77)), J77="expired")</formula>
    </cfRule>
    <cfRule type="expression" dxfId="254" priority="7">
      <formula>AND(ISNUMBER(SEARCH("call", B77)), J77="assigned")</formula>
    </cfRule>
  </conditionalFormatting>
  <conditionalFormatting sqref="B41:B76">
    <cfRule type="expression" dxfId="253" priority="1" stopIfTrue="1">
      <formula>J41="ROLL"</formula>
    </cfRule>
    <cfRule type="expression" dxfId="252" priority="2" stopIfTrue="1">
      <formula>AND(ISNUMBER(SEARCH("call", B41)), J41="expired")</formula>
    </cfRule>
    <cfRule type="expression" dxfId="251" priority="3" stopIfTrue="1">
      <formula>AND(ISNUMBER(SEARCH("call", B41)), J41="assigned")</formula>
    </cfRule>
    <cfRule type="expression" dxfId="250" priority="4" stopIfTrue="1">
      <formula>J41="assigned"</formula>
    </cfRule>
    <cfRule type="expression" dxfId="249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2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9811-0E0E-DA49-AF43-E5061B3E4845}">
  <sheetPr codeName="Sheet27"/>
  <dimension ref="B1:N76"/>
  <sheetViews>
    <sheetView zoomScale="130" zoomScaleNormal="130" workbookViewId="0">
      <pane xSplit="1" ySplit="10" topLeftCell="B38" activePane="bottomRight" state="frozen"/>
      <selection activeCell="F3" sqref="F3"/>
      <selection pane="topRight" activeCell="F3" sqref="F3"/>
      <selection pane="bottomLeft" activeCell="F3" sqref="F3"/>
      <selection pane="bottomRight" activeCell="B50" sqref="B50"/>
    </sheetView>
  </sheetViews>
  <sheetFormatPr baseColWidth="10" defaultColWidth="8.83203125" defaultRowHeight="15" x14ac:dyDescent="0.2"/>
  <cols>
    <col min="1" max="1" width="6" customWidth="1"/>
    <col min="2" max="2" width="38.5" style="29" customWidth="1"/>
    <col min="3" max="3" width="16.33203125" style="55" customWidth="1"/>
    <col min="4" max="4" width="8.33203125" customWidth="1"/>
    <col min="5" max="5" width="10.83203125" customWidth="1"/>
    <col min="6" max="6" width="9.6640625" bestFit="1" customWidth="1"/>
    <col min="7" max="7" width="13.83203125" customWidth="1"/>
    <col min="8" max="8" width="3.5" customWidth="1"/>
    <col min="9" max="9" width="12.1640625" customWidth="1"/>
    <col min="10" max="10" width="19.1640625" style="29" customWidth="1"/>
    <col min="11" max="11" width="12.83203125" style="2" customWidth="1"/>
    <col min="14" max="14" width="15.1640625" customWidth="1"/>
  </cols>
  <sheetData>
    <row r="1" spans="2:14" ht="17" x14ac:dyDescent="0.2">
      <c r="B1" s="38" t="s">
        <v>69</v>
      </c>
    </row>
    <row r="2" spans="2:14" x14ac:dyDescent="0.2">
      <c r="B2" s="39"/>
      <c r="C2" s="56"/>
      <c r="D2" s="2"/>
      <c r="E2" s="2"/>
      <c r="F2" s="3"/>
      <c r="G2" s="4"/>
      <c r="N2" s="144" t="s">
        <v>268</v>
      </c>
    </row>
    <row r="3" spans="2:14" ht="19" x14ac:dyDescent="0.25">
      <c r="B3" s="40"/>
      <c r="C3" s="57"/>
      <c r="D3" s="6"/>
      <c r="E3" s="6"/>
      <c r="F3" s="7" t="s">
        <v>0</v>
      </c>
      <c r="G3" s="8">
        <f>IF(ISERROR(SUM(G24,G71)/G4),SUM(G24,G71),SUM(G24,G71)/G4)</f>
        <v>161.46666666666667</v>
      </c>
      <c r="H3" t="s">
        <v>1</v>
      </c>
      <c r="J3" s="30">
        <v>187.26</v>
      </c>
      <c r="K3" s="6"/>
      <c r="N3" s="143" t="s">
        <v>269</v>
      </c>
    </row>
    <row r="4" spans="2:14" x14ac:dyDescent="0.2">
      <c r="B4" s="41"/>
      <c r="C4" s="56"/>
      <c r="D4" s="2"/>
      <c r="E4" s="2"/>
      <c r="F4" s="3" t="s">
        <v>2</v>
      </c>
      <c r="G4" s="9">
        <f>SUM(E11:E24)</f>
        <v>150</v>
      </c>
      <c r="N4" s="145" t="s">
        <v>270</v>
      </c>
    </row>
    <row r="5" spans="2:14" x14ac:dyDescent="0.2">
      <c r="C5" s="56"/>
      <c r="D5" s="2"/>
      <c r="E5" s="2"/>
      <c r="F5" s="3"/>
      <c r="G5" s="4"/>
      <c r="N5" s="146" t="s">
        <v>271</v>
      </c>
    </row>
    <row r="6" spans="2:14" x14ac:dyDescent="0.2">
      <c r="C6" s="58"/>
      <c r="D6" s="17"/>
      <c r="E6" s="17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39"/>
      <c r="C7" s="58"/>
      <c r="D7" s="17"/>
      <c r="E7" s="17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ht="16" x14ac:dyDescent="0.2">
      <c r="B9" s="42" t="s">
        <v>11</v>
      </c>
      <c r="C9" s="59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42"/>
      <c r="C10" s="59"/>
      <c r="D10" s="11"/>
      <c r="E10" s="11"/>
      <c r="F10" s="13"/>
      <c r="G10" s="14"/>
      <c r="H10" s="11"/>
      <c r="I10" s="11"/>
      <c r="J10" s="33"/>
      <c r="K10" s="11"/>
    </row>
    <row r="11" spans="2:14" ht="16" x14ac:dyDescent="0.2">
      <c r="B11" s="39" t="s">
        <v>23</v>
      </c>
      <c r="C11" s="58" t="d">
        <v>2025-06-20</v>
      </c>
      <c r="D11" s="16"/>
      <c r="E11" s="17">
        <v>10</v>
      </c>
      <c r="F11" s="35">
        <v>227.99</v>
      </c>
      <c r="G11" s="36">
        <f>E11*F11</f>
        <v>2279.9</v>
      </c>
      <c r="H11" s="20"/>
      <c r="I11" s="36">
        <f>G11</f>
        <v>2279.9</v>
      </c>
      <c r="J11" s="31"/>
      <c r="K11" s="34">
        <f>IF(ISERROR(I11/$G$4),0,I11/SUM($E$11:E11))</f>
        <v>227.99</v>
      </c>
    </row>
    <row r="12" spans="2:14" ht="16" x14ac:dyDescent="0.2">
      <c r="B12" s="39" t="s">
        <v>23</v>
      </c>
      <c r="C12" s="58" t="d">
        <v>2025-07-24</v>
      </c>
      <c r="D12" s="16"/>
      <c r="E12" s="17">
        <v>10</v>
      </c>
      <c r="F12" s="35">
        <v>218.99</v>
      </c>
      <c r="G12" s="36">
        <f>E12*F12</f>
        <v>2189.9</v>
      </c>
      <c r="H12" s="20"/>
      <c r="I12" s="36">
        <f>I11+G12</f>
        <v>4469.8</v>
      </c>
      <c r="J12" s="31"/>
      <c r="K12" s="34">
        <f>IF(ISERROR(I12/$G$4),0,I12/SUM($E$11:E12))</f>
        <v>223.49</v>
      </c>
    </row>
    <row r="13" spans="2:14" ht="16" x14ac:dyDescent="0.2">
      <c r="B13" s="39" t="s">
        <v>23</v>
      </c>
      <c r="C13" s="58" t="d">
        <v>2025-07-29</v>
      </c>
      <c r="D13" s="16"/>
      <c r="E13" s="17">
        <v>10</v>
      </c>
      <c r="F13" s="35">
        <v>214.99</v>
      </c>
      <c r="G13" s="36">
        <f>E13*F13</f>
        <v>2149.9</v>
      </c>
      <c r="H13" s="20"/>
      <c r="I13" s="36">
        <f>I12+G13</f>
        <v>6619.7000000000007</v>
      </c>
      <c r="J13" s="31"/>
      <c r="K13" s="34">
        <f>IF(ISERROR(I13/$G$4),0,I13/SUM($E$11:E13))</f>
        <v>220.65666666666669</v>
      </c>
    </row>
    <row r="14" spans="2:14" ht="16" x14ac:dyDescent="0.2">
      <c r="B14" s="39" t="s">
        <v>23</v>
      </c>
      <c r="C14" s="58" t="d">
        <v>2025-08-06</v>
      </c>
      <c r="D14" s="16"/>
      <c r="E14" s="17">
        <v>10</v>
      </c>
      <c r="F14" s="35">
        <v>196.24</v>
      </c>
      <c r="G14" s="36">
        <f>E14*F14</f>
        <v>1962.4</v>
      </c>
      <c r="H14" s="20"/>
      <c r="I14" s="36">
        <f>I13+G14</f>
        <v>8582.1</v>
      </c>
      <c r="J14" s="31"/>
      <c r="K14" s="34">
        <f>IF(ISERROR(I14/$G$4),0,I14/SUM($E$11:E14))</f>
        <v>214.55250000000001</v>
      </c>
    </row>
    <row r="15" spans="2:14" ht="16" x14ac:dyDescent="0.2">
      <c r="B15" s="39" t="s">
        <v>23</v>
      </c>
      <c r="C15" s="58" t="d">
        <v>2025-09-12</v>
      </c>
      <c r="D15" s="16"/>
      <c r="E15" s="17">
        <v>10</v>
      </c>
      <c r="F15" s="35">
        <v>159.99</v>
      </c>
      <c r="G15" s="36">
        <f t="shared" ref="G15:G22" si="0">E15*F15</f>
        <v>1599.9</v>
      </c>
      <c r="H15" s="20"/>
      <c r="I15" s="36">
        <f t="shared" ref="I15:I23" si="1">I14+G15</f>
        <v>10182</v>
      </c>
      <c r="J15" s="31"/>
      <c r="K15" s="34">
        <f>IF(ISERROR(I15/$G$4),0,I15/SUM($E$11:E15))</f>
        <v>203.64</v>
      </c>
    </row>
    <row r="16" spans="2:14" ht="16" x14ac:dyDescent="0.2">
      <c r="B16" s="39" t="s">
        <v>636</v>
      </c>
      <c r="C16" s="58" t="d">
        <v>2025-10-11</v>
      </c>
      <c r="D16" s="16"/>
      <c r="E16" s="17">
        <v>100</v>
      </c>
      <c r="F16" s="35">
        <v>165</v>
      </c>
      <c r="G16" s="36">
        <f t="shared" si="0"/>
        <v>16500</v>
      </c>
      <c r="H16" s="20"/>
      <c r="I16" s="36">
        <f t="shared" si="1"/>
        <v>26682</v>
      </c>
      <c r="J16" s="31"/>
      <c r="K16" s="34">
        <f>IF(ISERROR(I16/$G$4),0,I16/SUM($E$11:E16))</f>
        <v>177.88</v>
      </c>
    </row>
    <row r="17" spans="2:11" x14ac:dyDescent="0.2">
      <c r="B17" s="39"/>
      <c r="C17" s="58"/>
      <c r="D17" s="16"/>
      <c r="E17" s="17"/>
      <c r="F17" s="35"/>
      <c r="G17" s="36">
        <f t="shared" si="0"/>
        <v>0</v>
      </c>
      <c r="H17" s="20"/>
      <c r="I17" s="36">
        <f t="shared" si="1"/>
        <v>26682</v>
      </c>
      <c r="J17" s="31"/>
      <c r="K17" s="34">
        <f>IF(ISERROR(I17/$G$4),0,I17/SUM($E$11:E17))</f>
        <v>177.88</v>
      </c>
    </row>
    <row r="18" spans="2:11" x14ac:dyDescent="0.2">
      <c r="B18" s="39"/>
      <c r="C18" s="58"/>
      <c r="D18" s="16"/>
      <c r="E18" s="17"/>
      <c r="F18" s="35"/>
      <c r="G18" s="36">
        <f t="shared" si="0"/>
        <v>0</v>
      </c>
      <c r="H18" s="20"/>
      <c r="I18" s="36">
        <f t="shared" si="1"/>
        <v>26682</v>
      </c>
      <c r="J18" s="31"/>
      <c r="K18" s="34">
        <f>IF(ISERROR(I18/$G$4),0,I18/SUM($E$11:E18))</f>
        <v>177.88</v>
      </c>
    </row>
    <row r="19" spans="2:11" x14ac:dyDescent="0.2">
      <c r="B19" s="39"/>
      <c r="C19" s="58"/>
      <c r="D19" s="16"/>
      <c r="E19" s="17"/>
      <c r="F19" s="35"/>
      <c r="G19" s="36">
        <f t="shared" si="0"/>
        <v>0</v>
      </c>
      <c r="H19" s="20"/>
      <c r="I19" s="36">
        <f t="shared" si="1"/>
        <v>26682</v>
      </c>
      <c r="J19" s="31"/>
      <c r="K19" s="34">
        <f>IF(ISERROR(I19/$G$4),0,I19/SUM($E$11:E19))</f>
        <v>177.88</v>
      </c>
    </row>
    <row r="20" spans="2:11" x14ac:dyDescent="0.2">
      <c r="B20" s="39"/>
      <c r="C20" s="58"/>
      <c r="D20" s="16"/>
      <c r="E20" s="17"/>
      <c r="F20" s="35"/>
      <c r="G20" s="36">
        <f t="shared" si="0"/>
        <v>0</v>
      </c>
      <c r="H20" s="20"/>
      <c r="I20" s="36">
        <f t="shared" si="1"/>
        <v>26682</v>
      </c>
      <c r="J20" s="31"/>
      <c r="K20" s="34">
        <f>IF(ISERROR(I20/$G$4),0,I20/SUM($E$11:E20))</f>
        <v>177.88</v>
      </c>
    </row>
    <row r="21" spans="2:11" x14ac:dyDescent="0.2">
      <c r="B21" s="39"/>
      <c r="C21" s="58"/>
      <c r="D21" s="16"/>
      <c r="E21" s="17"/>
      <c r="F21" s="35"/>
      <c r="G21" s="36">
        <f t="shared" si="0"/>
        <v>0</v>
      </c>
      <c r="H21" s="20"/>
      <c r="I21" s="36">
        <f t="shared" si="1"/>
        <v>26682</v>
      </c>
      <c r="J21" s="31"/>
      <c r="K21" s="34">
        <f>IF(ISERROR(I21/$G$4),0,I21/SUM($E$11:E21))</f>
        <v>177.88</v>
      </c>
    </row>
    <row r="22" spans="2:11" x14ac:dyDescent="0.2">
      <c r="B22" s="39"/>
      <c r="C22" s="58"/>
      <c r="D22" s="16"/>
      <c r="E22" s="17"/>
      <c r="F22" s="35"/>
      <c r="G22" s="36">
        <f t="shared" si="0"/>
        <v>0</v>
      </c>
      <c r="H22" s="20"/>
      <c r="I22" s="36">
        <f t="shared" si="1"/>
        <v>26682</v>
      </c>
      <c r="J22" s="31"/>
      <c r="K22" s="34">
        <f>IF(ISERROR(I22/$G$4),0,I22/SUM($E$11:E22))</f>
        <v>177.88</v>
      </c>
    </row>
    <row r="23" spans="2:11" x14ac:dyDescent="0.2">
      <c r="B23" s="39"/>
      <c r="C23" s="58"/>
      <c r="D23" s="16"/>
      <c r="E23" s="17"/>
      <c r="F23" s="35"/>
      <c r="G23" s="36">
        <f>E23*F23</f>
        <v>0</v>
      </c>
      <c r="H23" s="20"/>
      <c r="I23" s="36">
        <f t="shared" si="1"/>
        <v>26682</v>
      </c>
      <c r="J23" s="31"/>
      <c r="K23" s="34">
        <f>IF(ISERROR(I23/$G$4),0,I23/SUM($E$11:E23))</f>
        <v>177.88</v>
      </c>
    </row>
    <row r="24" spans="2:11" ht="19" x14ac:dyDescent="0.25">
      <c r="G24" s="165">
        <f>SUM(G11:G23)</f>
        <v>26682</v>
      </c>
      <c r="H24" s="20"/>
      <c r="I24" s="19"/>
      <c r="J24" s="31"/>
      <c r="K24" s="165">
        <f>SUM(G11:G23)/SUM(E11:E23)</f>
        <v>177.88</v>
      </c>
    </row>
    <row r="25" spans="2:11" ht="6" customHeight="1" x14ac:dyDescent="0.2">
      <c r="B25" s="47"/>
      <c r="C25" s="60"/>
      <c r="D25" s="48"/>
      <c r="E25" s="48"/>
      <c r="F25" s="49"/>
      <c r="G25" s="50"/>
      <c r="H25" s="51"/>
      <c r="I25" s="51"/>
      <c r="J25" s="52"/>
      <c r="K25" s="48"/>
    </row>
    <row r="26" spans="2:11" ht="6.5" customHeight="1" x14ac:dyDescent="0.2">
      <c r="B26" s="47"/>
      <c r="C26" s="60"/>
      <c r="D26" s="48"/>
      <c r="E26" s="48"/>
      <c r="F26" s="49"/>
      <c r="G26" s="50"/>
      <c r="H26" s="51"/>
      <c r="I26" s="51"/>
      <c r="J26" s="52"/>
      <c r="K26" s="48"/>
    </row>
    <row r="27" spans="2:11" ht="16" x14ac:dyDescent="0.2">
      <c r="B27" s="170" t="s">
        <v>449</v>
      </c>
      <c r="C27" s="167" t="d">
        <v>2024-09-04</v>
      </c>
      <c r="D27" s="168">
        <v>10</v>
      </c>
      <c r="E27" s="155"/>
      <c r="F27" s="179">
        <v>255</v>
      </c>
      <c r="G27" s="180">
        <v>-292</v>
      </c>
      <c r="H27" s="181"/>
      <c r="I27" s="180">
        <f>I23+G27</f>
        <v>26390</v>
      </c>
      <c r="J27" s="182" t="s">
        <v>10</v>
      </c>
      <c r="K27" s="183">
        <f>I27/SUM($E$11:E27)</f>
        <v>175.93333333333334</v>
      </c>
    </row>
    <row r="28" spans="2:11" ht="16" customHeight="1" x14ac:dyDescent="0.2">
      <c r="B28" s="170" t="s">
        <v>448</v>
      </c>
      <c r="C28" s="167" t="d">
        <v>2024-10-01</v>
      </c>
      <c r="D28" s="168">
        <v>10</v>
      </c>
      <c r="E28" s="155"/>
      <c r="F28" s="179">
        <v>266</v>
      </c>
      <c r="G28" s="180">
        <v>-243</v>
      </c>
      <c r="H28" s="181"/>
      <c r="I28" s="180">
        <f>I27+G28</f>
        <v>26147</v>
      </c>
      <c r="J28" s="182" t="s">
        <v>10</v>
      </c>
      <c r="K28" s="183">
        <f>I28/SUM($E$11:E28)</f>
        <v>174.31333333333333</v>
      </c>
    </row>
    <row r="29" spans="2:11" ht="15" customHeight="1" x14ac:dyDescent="0.2">
      <c r="B29" s="170" t="s">
        <v>447</v>
      </c>
      <c r="C29" s="167" t="d">
        <v>2024-10-15</v>
      </c>
      <c r="D29" s="168">
        <v>10</v>
      </c>
      <c r="E29" s="155"/>
      <c r="F29" s="179"/>
      <c r="G29" s="180">
        <v>-190</v>
      </c>
      <c r="H29" s="181"/>
      <c r="I29" s="180">
        <f>I28+G29</f>
        <v>25957</v>
      </c>
      <c r="J29" s="182" t="s">
        <v>10</v>
      </c>
      <c r="K29" s="183">
        <f>I29/SUM($E$11:E29)</f>
        <v>173.04666666666665</v>
      </c>
    </row>
    <row r="30" spans="2:11" ht="15" customHeight="1" x14ac:dyDescent="0.2">
      <c r="B30" s="170" t="s">
        <v>446</v>
      </c>
      <c r="C30" s="167" t="d">
        <v>2024-11-11</v>
      </c>
      <c r="D30" s="168">
        <v>4</v>
      </c>
      <c r="E30" s="155"/>
      <c r="F30" s="179">
        <v>314</v>
      </c>
      <c r="G30" s="180">
        <v>-80</v>
      </c>
      <c r="H30" s="181"/>
      <c r="I30" s="180">
        <f t="shared" ref="I30:I70" si="2">I29+G30</f>
        <v>25877</v>
      </c>
      <c r="J30" s="182" t="s">
        <v>10</v>
      </c>
      <c r="K30" s="183">
        <f>I30/SUM($E$11:E30)</f>
        <v>172.51333333333332</v>
      </c>
    </row>
    <row r="31" spans="2:11" ht="16" x14ac:dyDescent="0.2">
      <c r="B31" s="170" t="s">
        <v>450</v>
      </c>
      <c r="C31" s="167" t="d">
        <v>2025-06-20</v>
      </c>
      <c r="D31" s="168"/>
      <c r="E31" s="155"/>
      <c r="F31" s="179"/>
      <c r="G31" s="180">
        <v>-80</v>
      </c>
      <c r="H31" s="181"/>
      <c r="I31" s="180">
        <f t="shared" si="2"/>
        <v>25797</v>
      </c>
      <c r="J31" s="182" t="s">
        <v>10</v>
      </c>
      <c r="K31" s="183">
        <f>I31/SUM($E$11:E31)</f>
        <v>171.98</v>
      </c>
    </row>
    <row r="32" spans="2:11" ht="16" x14ac:dyDescent="0.2">
      <c r="B32" s="170" t="s">
        <v>452</v>
      </c>
      <c r="C32" s="167" t="d">
        <v>2025-06-23</v>
      </c>
      <c r="D32" s="168"/>
      <c r="E32" s="155"/>
      <c r="F32" s="179">
        <v>223.17</v>
      </c>
      <c r="G32" s="180">
        <v>-144</v>
      </c>
      <c r="H32" s="181"/>
      <c r="I32" s="180">
        <f t="shared" si="2"/>
        <v>25653</v>
      </c>
      <c r="J32" s="182" t="s">
        <v>10</v>
      </c>
      <c r="K32" s="183">
        <f>I32/SUM($E$11:E32)</f>
        <v>171.02</v>
      </c>
    </row>
    <row r="33" spans="2:11" ht="16" x14ac:dyDescent="0.2">
      <c r="B33" s="170" t="s">
        <v>453</v>
      </c>
      <c r="C33" s="167" t="d">
        <v>2025-06-23</v>
      </c>
      <c r="D33" s="168"/>
      <c r="E33" s="155"/>
      <c r="F33" s="179"/>
      <c r="G33" s="180">
        <v>-120</v>
      </c>
      <c r="H33" s="181"/>
      <c r="I33" s="180">
        <f t="shared" si="2"/>
        <v>25533</v>
      </c>
      <c r="J33" s="182" t="s">
        <v>10</v>
      </c>
      <c r="K33" s="183">
        <f>I33/SUM($E$11:E33)</f>
        <v>170.22</v>
      </c>
    </row>
    <row r="34" spans="2:11" s="153" customFormat="1" ht="17" customHeight="1" x14ac:dyDescent="0.2">
      <c r="B34" s="170" t="s">
        <v>549</v>
      </c>
      <c r="C34" s="167" t="d">
        <v>2025-07-08</v>
      </c>
      <c r="D34" s="168"/>
      <c r="E34" s="155"/>
      <c r="F34" s="169"/>
      <c r="G34" s="171">
        <v>-145</v>
      </c>
      <c r="H34" s="155"/>
      <c r="I34" s="180">
        <f>I33+G34</f>
        <v>25388</v>
      </c>
      <c r="J34" s="182" t="s">
        <v>10</v>
      </c>
      <c r="K34" s="183">
        <f>I34/SUM($E$11:E34)</f>
        <v>169.25333333333333</v>
      </c>
    </row>
    <row r="35" spans="2:11" ht="16" x14ac:dyDescent="0.2">
      <c r="B35" s="170" t="s">
        <v>497</v>
      </c>
      <c r="C35" s="167" t="d">
        <v>2025-07-24</v>
      </c>
      <c r="D35" s="168"/>
      <c r="E35" s="155"/>
      <c r="F35" s="184"/>
      <c r="G35" s="180">
        <v>-91</v>
      </c>
      <c r="H35" s="181"/>
      <c r="I35" s="185">
        <f>I33+G35</f>
        <v>25442</v>
      </c>
      <c r="J35" s="182" t="s">
        <v>281</v>
      </c>
      <c r="K35" s="186">
        <f>I35/SUM($E$11:E35)</f>
        <v>169.61333333333334</v>
      </c>
    </row>
    <row r="36" spans="2:11" ht="32" x14ac:dyDescent="0.2">
      <c r="B36" s="170" t="s">
        <v>507</v>
      </c>
      <c r="C36" s="167" t="d">
        <v>2025-07-30</v>
      </c>
      <c r="D36" s="168"/>
      <c r="E36" s="155"/>
      <c r="F36" s="184"/>
      <c r="G36" s="180">
        <v>-30</v>
      </c>
      <c r="H36" s="181"/>
      <c r="I36" s="185">
        <f t="shared" si="2"/>
        <v>25412</v>
      </c>
      <c r="J36" s="182" t="s">
        <v>281</v>
      </c>
      <c r="K36" s="186">
        <f>I36/SUM($E$11:E36)</f>
        <v>169.41333333333333</v>
      </c>
    </row>
    <row r="37" spans="2:11" ht="32" x14ac:dyDescent="0.2">
      <c r="B37" s="170" t="s">
        <v>508</v>
      </c>
      <c r="C37" s="167" t="d">
        <v>2025-08-01</v>
      </c>
      <c r="D37" s="168"/>
      <c r="E37" s="155"/>
      <c r="F37" s="184"/>
      <c r="G37" s="180">
        <v>-47</v>
      </c>
      <c r="H37" s="181"/>
      <c r="I37" s="185">
        <f t="shared" si="2"/>
        <v>25365</v>
      </c>
      <c r="J37" s="182" t="s">
        <v>281</v>
      </c>
      <c r="K37" s="186">
        <f>I37/SUM($E$11:E37)</f>
        <v>169.1</v>
      </c>
    </row>
    <row r="38" spans="2:11" ht="16" x14ac:dyDescent="0.2">
      <c r="B38" s="170" t="s">
        <v>509</v>
      </c>
      <c r="C38" s="167" t="d">
        <v>2025-08-06</v>
      </c>
      <c r="D38" s="168"/>
      <c r="E38" s="155"/>
      <c r="F38" s="184"/>
      <c r="G38" s="180">
        <v>-99</v>
      </c>
      <c r="H38" s="181"/>
      <c r="I38" s="185">
        <f t="shared" si="2"/>
        <v>25266</v>
      </c>
      <c r="J38" s="182" t="s">
        <v>10</v>
      </c>
      <c r="K38" s="186">
        <f>I38/SUM($E$11:E38)</f>
        <v>168.44</v>
      </c>
    </row>
    <row r="39" spans="2:11" ht="22" customHeight="1" x14ac:dyDescent="0.2">
      <c r="B39" s="170" t="s">
        <v>538</v>
      </c>
      <c r="C39" s="167" t="d">
        <v>2025-08-11</v>
      </c>
      <c r="D39" s="168"/>
      <c r="E39" s="155"/>
      <c r="F39" s="184"/>
      <c r="G39" s="180">
        <v>-104</v>
      </c>
      <c r="H39" s="181"/>
      <c r="I39" s="185">
        <f t="shared" si="2"/>
        <v>25162</v>
      </c>
      <c r="J39" s="182" t="s">
        <v>127</v>
      </c>
      <c r="K39" s="186">
        <f>I39/SUM($E$11:E39)</f>
        <v>167.74666666666667</v>
      </c>
    </row>
    <row r="40" spans="2:11" ht="24" customHeight="1" x14ac:dyDescent="0.2">
      <c r="B40" s="170" t="s">
        <v>548</v>
      </c>
      <c r="C40" s="167" t="d">
        <v>2025-08-14</v>
      </c>
      <c r="D40" s="168"/>
      <c r="E40" s="155"/>
      <c r="F40" s="184"/>
      <c r="G40" s="180">
        <v>-82</v>
      </c>
      <c r="H40" s="181"/>
      <c r="I40" s="185">
        <f t="shared" si="2"/>
        <v>25080</v>
      </c>
      <c r="J40" s="182" t="s">
        <v>10</v>
      </c>
      <c r="K40" s="186">
        <f>I40/SUM($E$11:E40)</f>
        <v>167.2</v>
      </c>
    </row>
    <row r="41" spans="2:11" ht="16" x14ac:dyDescent="0.2">
      <c r="B41" s="170" t="s">
        <v>547</v>
      </c>
      <c r="C41" s="167" t="d">
        <v>2025-08-18</v>
      </c>
      <c r="D41" s="168"/>
      <c r="E41" s="155"/>
      <c r="F41" s="184"/>
      <c r="G41" s="180">
        <v>3</v>
      </c>
      <c r="H41" s="181"/>
      <c r="I41" s="185">
        <f t="shared" si="2"/>
        <v>25083</v>
      </c>
      <c r="J41" s="182" t="s">
        <v>539</v>
      </c>
      <c r="K41" s="186">
        <f>I41/SUM($E$11:E41)</f>
        <v>167.22</v>
      </c>
    </row>
    <row r="42" spans="2:11" ht="32" x14ac:dyDescent="0.2">
      <c r="B42" s="170" t="s">
        <v>550</v>
      </c>
      <c r="C42" s="167" t="d">
        <v>2025-09-05</v>
      </c>
      <c r="D42" s="168"/>
      <c r="E42" s="155"/>
      <c r="F42" s="184"/>
      <c r="G42" s="180">
        <v>-32</v>
      </c>
      <c r="H42" s="181"/>
      <c r="I42" s="185">
        <f t="shared" si="2"/>
        <v>25051</v>
      </c>
      <c r="J42" s="182"/>
      <c r="K42" s="186">
        <f>I42/SUM($E$11:E42)</f>
        <v>167.00666666666666</v>
      </c>
    </row>
    <row r="43" spans="2:11" ht="16" x14ac:dyDescent="0.2">
      <c r="B43" s="170" t="s">
        <v>572</v>
      </c>
      <c r="C43" s="167" t="d">
        <v>2025-09-05</v>
      </c>
      <c r="D43" s="168"/>
      <c r="E43" s="155"/>
      <c r="F43" s="184"/>
      <c r="G43" s="180">
        <v>-178</v>
      </c>
      <c r="H43" s="181"/>
      <c r="I43" s="185">
        <f t="shared" si="2"/>
        <v>24873</v>
      </c>
      <c r="J43" s="182" t="s">
        <v>10</v>
      </c>
      <c r="K43" s="186">
        <f>I43/SUM($E$11:E43)</f>
        <v>165.82</v>
      </c>
    </row>
    <row r="44" spans="2:11" ht="16" x14ac:dyDescent="0.2">
      <c r="B44" s="170" t="s">
        <v>569</v>
      </c>
      <c r="C44" s="167" t="d">
        <v>2025-09-23</v>
      </c>
      <c r="D44" s="168"/>
      <c r="E44" s="155"/>
      <c r="F44" s="184"/>
      <c r="G44" s="180">
        <v>-103</v>
      </c>
      <c r="H44" s="181"/>
      <c r="I44" s="185">
        <f t="shared" si="2"/>
        <v>24770</v>
      </c>
      <c r="J44" s="182" t="s">
        <v>127</v>
      </c>
      <c r="K44" s="186">
        <f>I44/SUM($E$11:E44)</f>
        <v>165.13333333333333</v>
      </c>
    </row>
    <row r="45" spans="2:11" ht="16" x14ac:dyDescent="0.2">
      <c r="B45" s="170" t="s">
        <v>632</v>
      </c>
      <c r="C45" s="167" t="d">
        <v>2025-10-02</v>
      </c>
      <c r="D45" s="168"/>
      <c r="E45" s="155"/>
      <c r="F45" s="184"/>
      <c r="G45" s="180">
        <v>3</v>
      </c>
      <c r="H45" s="181"/>
      <c r="I45" s="185">
        <f t="shared" si="2"/>
        <v>24773</v>
      </c>
      <c r="J45" s="182" t="s">
        <v>539</v>
      </c>
      <c r="K45" s="186">
        <f>I45/SUM($E$11:E45)</f>
        <v>165.15333333333334</v>
      </c>
    </row>
    <row r="46" spans="2:11" ht="32" x14ac:dyDescent="0.2">
      <c r="B46" s="39" t="s">
        <v>633</v>
      </c>
      <c r="C46" s="167" t="d">
        <v>2025-10-03</v>
      </c>
      <c r="D46" s="168"/>
      <c r="E46" s="155"/>
      <c r="F46" s="184"/>
      <c r="G46" s="180">
        <v>-60</v>
      </c>
      <c r="H46" s="181"/>
      <c r="I46" s="185">
        <f t="shared" si="2"/>
        <v>24713</v>
      </c>
      <c r="J46" s="182"/>
      <c r="K46" s="186">
        <f>I46/SUM($E$11:E46)</f>
        <v>164.75333333333333</v>
      </c>
    </row>
    <row r="47" spans="2:11" ht="20" customHeight="1" x14ac:dyDescent="0.2">
      <c r="B47" s="170" t="s">
        <v>634</v>
      </c>
      <c r="C47" s="167" t="d">
        <v>2025-10-03</v>
      </c>
      <c r="D47" s="168"/>
      <c r="E47" s="155"/>
      <c r="F47" s="184"/>
      <c r="G47" s="180">
        <v>-64</v>
      </c>
      <c r="H47" s="181"/>
      <c r="I47" s="185">
        <f t="shared" si="2"/>
        <v>24649</v>
      </c>
      <c r="J47" s="182" t="s">
        <v>122</v>
      </c>
      <c r="K47" s="186">
        <f>I47/SUM($E$11:E47)</f>
        <v>164.32666666666665</v>
      </c>
    </row>
    <row r="48" spans="2:11" ht="16" x14ac:dyDescent="0.2">
      <c r="B48" s="170" t="s">
        <v>635</v>
      </c>
      <c r="C48" s="167" t="d">
        <v>2025-10-08</v>
      </c>
      <c r="D48" s="168"/>
      <c r="E48" s="155"/>
      <c r="F48" s="184"/>
      <c r="G48" s="180">
        <v>-90</v>
      </c>
      <c r="H48" s="181"/>
      <c r="I48" s="185">
        <f t="shared" si="2"/>
        <v>24559</v>
      </c>
      <c r="J48" s="182" t="s">
        <v>10</v>
      </c>
      <c r="K48" s="186">
        <f>I48/SUM($E$11:E48)</f>
        <v>163.72666666666666</v>
      </c>
    </row>
    <row r="49" spans="2:11" ht="16" x14ac:dyDescent="0.2">
      <c r="B49" s="170" t="s">
        <v>644</v>
      </c>
      <c r="C49" s="167" t="d">
        <v>2025-10-13</v>
      </c>
      <c r="D49" s="168"/>
      <c r="E49" s="155"/>
      <c r="F49" s="184"/>
      <c r="G49" s="180">
        <v>-101</v>
      </c>
      <c r="H49" s="181"/>
      <c r="I49" s="185">
        <f t="shared" si="2"/>
        <v>24458</v>
      </c>
      <c r="J49" s="182" t="s">
        <v>10</v>
      </c>
      <c r="K49" s="186">
        <f>I49/SUM($E$11:E49)</f>
        <v>163.05333333333334</v>
      </c>
    </row>
    <row r="50" spans="2:11" ht="16" x14ac:dyDescent="0.2">
      <c r="B50" s="170" t="s">
        <v>684</v>
      </c>
      <c r="C50" s="167" t="d">
        <v>2025-10-21</v>
      </c>
      <c r="D50" s="168"/>
      <c r="E50" s="155"/>
      <c r="F50" s="184"/>
      <c r="G50" s="180">
        <v>-93</v>
      </c>
      <c r="H50" s="181"/>
      <c r="I50" s="185">
        <f t="shared" ref="I50:I67" si="3">I49+G50</f>
        <v>24365</v>
      </c>
      <c r="J50" s="182"/>
      <c r="K50" s="186">
        <f>I50/SUM($E$11:E50)</f>
        <v>162.43333333333334</v>
      </c>
    </row>
    <row r="51" spans="2:11" x14ac:dyDescent="0.2">
      <c r="B51" s="170"/>
      <c r="C51" s="167"/>
      <c r="D51" s="168"/>
      <c r="E51" s="155"/>
      <c r="F51" s="184"/>
      <c r="G51" s="180">
        <v>0</v>
      </c>
      <c r="H51" s="181"/>
      <c r="I51" s="185">
        <f t="shared" si="3"/>
        <v>24365</v>
      </c>
      <c r="J51" s="182"/>
      <c r="K51" s="186">
        <f>I51/SUM($E$11:E51)</f>
        <v>162.43333333333334</v>
      </c>
    </row>
    <row r="52" spans="2:11" x14ac:dyDescent="0.2">
      <c r="B52" s="170"/>
      <c r="C52" s="167"/>
      <c r="D52" s="168"/>
      <c r="E52" s="155"/>
      <c r="F52" s="184"/>
      <c r="G52" s="180">
        <v>0</v>
      </c>
      <c r="H52" s="181"/>
      <c r="I52" s="185">
        <f t="shared" si="3"/>
        <v>24365</v>
      </c>
      <c r="J52" s="182"/>
      <c r="K52" s="186">
        <f>I52/SUM($E$11:E52)</f>
        <v>162.43333333333334</v>
      </c>
    </row>
    <row r="53" spans="2:11" x14ac:dyDescent="0.2">
      <c r="B53" s="170"/>
      <c r="C53" s="167"/>
      <c r="D53" s="168"/>
      <c r="E53" s="155"/>
      <c r="F53" s="184"/>
      <c r="G53" s="180">
        <v>0</v>
      </c>
      <c r="H53" s="181"/>
      <c r="I53" s="185">
        <f t="shared" si="3"/>
        <v>24365</v>
      </c>
      <c r="J53" s="182"/>
      <c r="K53" s="186">
        <f>I53/SUM($E$11:E53)</f>
        <v>162.43333333333334</v>
      </c>
    </row>
    <row r="54" spans="2:11" x14ac:dyDescent="0.2">
      <c r="B54" s="170"/>
      <c r="C54" s="167"/>
      <c r="D54" s="168"/>
      <c r="E54" s="155"/>
      <c r="F54" s="184"/>
      <c r="G54" s="180">
        <v>0</v>
      </c>
      <c r="H54" s="181"/>
      <c r="I54" s="185">
        <f t="shared" si="3"/>
        <v>24365</v>
      </c>
      <c r="J54" s="182"/>
      <c r="K54" s="186">
        <f>I54/SUM($E$11:E54)</f>
        <v>162.43333333333334</v>
      </c>
    </row>
    <row r="55" spans="2:11" x14ac:dyDescent="0.2">
      <c r="B55" s="170"/>
      <c r="C55" s="167"/>
      <c r="D55" s="168"/>
      <c r="E55" s="155"/>
      <c r="F55" s="184"/>
      <c r="G55" s="180">
        <v>0</v>
      </c>
      <c r="H55" s="181"/>
      <c r="I55" s="185">
        <f t="shared" si="3"/>
        <v>24365</v>
      </c>
      <c r="J55" s="182"/>
      <c r="K55" s="186">
        <f>I55/SUM($E$11:E55)</f>
        <v>162.43333333333334</v>
      </c>
    </row>
    <row r="56" spans="2:11" x14ac:dyDescent="0.2">
      <c r="B56" s="170"/>
      <c r="C56" s="167"/>
      <c r="D56" s="168"/>
      <c r="E56" s="155"/>
      <c r="F56" s="184"/>
      <c r="G56" s="180">
        <v>0</v>
      </c>
      <c r="H56" s="181"/>
      <c r="I56" s="185">
        <f t="shared" si="3"/>
        <v>24365</v>
      </c>
      <c r="J56" s="182"/>
      <c r="K56" s="186">
        <f>I56/SUM($E$11:E56)</f>
        <v>162.43333333333334</v>
      </c>
    </row>
    <row r="57" spans="2:11" x14ac:dyDescent="0.2">
      <c r="B57" s="170"/>
      <c r="C57" s="167"/>
      <c r="D57" s="168"/>
      <c r="E57" s="155"/>
      <c r="F57" s="184"/>
      <c r="G57" s="180">
        <v>0</v>
      </c>
      <c r="H57" s="181"/>
      <c r="I57" s="185">
        <f t="shared" si="3"/>
        <v>24365</v>
      </c>
      <c r="J57" s="182"/>
      <c r="K57" s="186">
        <f>I57/SUM($E$11:E57)</f>
        <v>162.43333333333334</v>
      </c>
    </row>
    <row r="58" spans="2:11" x14ac:dyDescent="0.2">
      <c r="B58" s="170"/>
      <c r="C58" s="167"/>
      <c r="D58" s="168"/>
      <c r="E58" s="155"/>
      <c r="F58" s="184"/>
      <c r="G58" s="180">
        <v>0</v>
      </c>
      <c r="H58" s="181"/>
      <c r="I58" s="185">
        <f t="shared" si="3"/>
        <v>24365</v>
      </c>
      <c r="J58" s="182"/>
      <c r="K58" s="186">
        <f>I58/SUM($E$11:E58)</f>
        <v>162.43333333333334</v>
      </c>
    </row>
    <row r="59" spans="2:11" x14ac:dyDescent="0.2">
      <c r="B59" s="170"/>
      <c r="C59" s="167"/>
      <c r="D59" s="168"/>
      <c r="E59" s="155"/>
      <c r="F59" s="184"/>
      <c r="G59" s="180">
        <v>0</v>
      </c>
      <c r="H59" s="181"/>
      <c r="I59" s="185">
        <f t="shared" si="3"/>
        <v>24365</v>
      </c>
      <c r="J59" s="182"/>
      <c r="K59" s="186">
        <f>I59/SUM($E$11:E59)</f>
        <v>162.43333333333334</v>
      </c>
    </row>
    <row r="60" spans="2:11" x14ac:dyDescent="0.2">
      <c r="B60" s="170"/>
      <c r="C60" s="167"/>
      <c r="D60" s="168"/>
      <c r="E60" s="155"/>
      <c r="F60" s="184"/>
      <c r="G60" s="180">
        <v>0</v>
      </c>
      <c r="H60" s="181"/>
      <c r="I60" s="185">
        <f t="shared" si="3"/>
        <v>24365</v>
      </c>
      <c r="J60" s="182"/>
      <c r="K60" s="186">
        <f>I60/SUM($E$11:E60)</f>
        <v>162.43333333333334</v>
      </c>
    </row>
    <row r="61" spans="2:11" x14ac:dyDescent="0.2">
      <c r="B61" s="170"/>
      <c r="C61" s="167"/>
      <c r="D61" s="168"/>
      <c r="E61" s="155"/>
      <c r="F61" s="184"/>
      <c r="G61" s="180">
        <v>0</v>
      </c>
      <c r="H61" s="181"/>
      <c r="I61" s="185">
        <f t="shared" si="3"/>
        <v>24365</v>
      </c>
      <c r="J61" s="182"/>
      <c r="K61" s="186">
        <f>I61/SUM($E$11:E61)</f>
        <v>162.43333333333334</v>
      </c>
    </row>
    <row r="62" spans="2:11" x14ac:dyDescent="0.2">
      <c r="B62" s="170"/>
      <c r="C62" s="167"/>
      <c r="D62" s="168"/>
      <c r="E62" s="155"/>
      <c r="F62" s="184"/>
      <c r="G62" s="180">
        <v>0</v>
      </c>
      <c r="H62" s="181"/>
      <c r="I62" s="185">
        <f t="shared" si="3"/>
        <v>24365</v>
      </c>
      <c r="J62" s="182"/>
      <c r="K62" s="186">
        <f>I62/SUM($E$11:E62)</f>
        <v>162.43333333333334</v>
      </c>
    </row>
    <row r="63" spans="2:11" x14ac:dyDescent="0.2">
      <c r="B63" s="170"/>
      <c r="C63" s="167"/>
      <c r="D63" s="168"/>
      <c r="E63" s="155"/>
      <c r="F63" s="184"/>
      <c r="G63" s="180">
        <v>0</v>
      </c>
      <c r="H63" s="181"/>
      <c r="I63" s="185">
        <f t="shared" si="3"/>
        <v>24365</v>
      </c>
      <c r="J63" s="182"/>
      <c r="K63" s="186">
        <f>I63/SUM($E$11:E63)</f>
        <v>162.43333333333334</v>
      </c>
    </row>
    <row r="64" spans="2:11" x14ac:dyDescent="0.2">
      <c r="B64" s="170"/>
      <c r="C64" s="167"/>
      <c r="D64" s="168"/>
      <c r="E64" s="155"/>
      <c r="F64" s="184"/>
      <c r="G64" s="180">
        <v>0</v>
      </c>
      <c r="H64" s="181"/>
      <c r="I64" s="185">
        <f t="shared" si="3"/>
        <v>24365</v>
      </c>
      <c r="J64" s="182"/>
      <c r="K64" s="186">
        <f>I64/SUM($E$11:E64)</f>
        <v>162.43333333333334</v>
      </c>
    </row>
    <row r="65" spans="2:11" x14ac:dyDescent="0.2">
      <c r="B65" s="170"/>
      <c r="C65" s="167"/>
      <c r="D65" s="168"/>
      <c r="E65" s="155"/>
      <c r="F65" s="184"/>
      <c r="G65" s="180">
        <v>0</v>
      </c>
      <c r="H65" s="181"/>
      <c r="I65" s="185">
        <f t="shared" si="3"/>
        <v>24365</v>
      </c>
      <c r="J65" s="182"/>
      <c r="K65" s="186">
        <f>I65/SUM($E$11:E65)</f>
        <v>162.43333333333334</v>
      </c>
    </row>
    <row r="66" spans="2:11" x14ac:dyDescent="0.2">
      <c r="B66" s="170"/>
      <c r="C66" s="167"/>
      <c r="D66" s="168"/>
      <c r="E66" s="155"/>
      <c r="F66" s="184"/>
      <c r="G66" s="180">
        <v>0</v>
      </c>
      <c r="H66" s="181"/>
      <c r="I66" s="185">
        <f t="shared" si="3"/>
        <v>24365</v>
      </c>
      <c r="J66" s="182"/>
      <c r="K66" s="186">
        <f>I66/SUM($E$11:E66)</f>
        <v>162.43333333333334</v>
      </c>
    </row>
    <row r="67" spans="2:11" x14ac:dyDescent="0.2">
      <c r="B67" s="170"/>
      <c r="C67" s="167"/>
      <c r="D67" s="168"/>
      <c r="E67" s="155"/>
      <c r="F67" s="184"/>
      <c r="G67" s="180">
        <v>0</v>
      </c>
      <c r="H67" s="181"/>
      <c r="I67" s="185">
        <f t="shared" si="3"/>
        <v>24365</v>
      </c>
      <c r="J67" s="182"/>
      <c r="K67" s="186">
        <f>I67/SUM($E$11:E67)</f>
        <v>162.43333333333334</v>
      </c>
    </row>
    <row r="68" spans="2:11" x14ac:dyDescent="0.2">
      <c r="B68" s="170"/>
      <c r="C68" s="167"/>
      <c r="D68" s="168"/>
      <c r="E68" s="155"/>
      <c r="F68" s="184"/>
      <c r="G68" s="180">
        <v>0</v>
      </c>
      <c r="H68" s="181"/>
      <c r="I68" s="185">
        <f>I49+G68</f>
        <v>24458</v>
      </c>
      <c r="J68" s="182"/>
      <c r="K68" s="186">
        <f>I68/SUM($E$11:E68)</f>
        <v>163.05333333333334</v>
      </c>
    </row>
    <row r="69" spans="2:11" x14ac:dyDescent="0.2">
      <c r="B69" s="170"/>
      <c r="C69" s="167"/>
      <c r="D69" s="168"/>
      <c r="E69" s="155"/>
      <c r="F69" s="184"/>
      <c r="G69" s="180">
        <v>0</v>
      </c>
      <c r="H69" s="181"/>
      <c r="I69" s="185">
        <f t="shared" si="2"/>
        <v>24458</v>
      </c>
      <c r="J69" s="182"/>
      <c r="K69" s="186">
        <f>I69/SUM($E$11:E69)</f>
        <v>163.05333333333334</v>
      </c>
    </row>
    <row r="70" spans="2:11" x14ac:dyDescent="0.2">
      <c r="B70" s="170"/>
      <c r="C70" s="167"/>
      <c r="D70" s="168"/>
      <c r="E70" s="155"/>
      <c r="F70" s="184"/>
      <c r="G70" s="180">
        <v>0</v>
      </c>
      <c r="H70" s="181"/>
      <c r="I70" s="185">
        <f t="shared" si="2"/>
        <v>24458</v>
      </c>
      <c r="J70" s="182"/>
      <c r="K70" s="186">
        <f>I70/SUM($E$11:E70)</f>
        <v>163.05333333333334</v>
      </c>
    </row>
    <row r="71" spans="2:11" ht="19" x14ac:dyDescent="0.25">
      <c r="B71" s="39"/>
      <c r="C71" s="58"/>
      <c r="D71" s="53"/>
      <c r="E71" s="17"/>
      <c r="F71" s="18"/>
      <c r="G71" s="165">
        <f>SUM(G27:G70)</f>
        <v>-2462</v>
      </c>
      <c r="H71" s="20"/>
      <c r="I71" s="44"/>
      <c r="J71" s="31"/>
      <c r="K71" s="165">
        <f>SUM(K27:K70)</f>
        <v>7288.9466666666667</v>
      </c>
    </row>
    <row r="72" spans="2:11" ht="7" customHeight="1" x14ac:dyDescent="0.2">
      <c r="B72" s="47"/>
      <c r="C72" s="47"/>
      <c r="D72" s="47"/>
      <c r="E72" s="47"/>
      <c r="F72" s="47"/>
      <c r="G72" s="47"/>
      <c r="H72" s="47"/>
      <c r="I72" s="47"/>
      <c r="J72" s="47"/>
      <c r="K72" s="47"/>
    </row>
    <row r="73" spans="2:11" x14ac:dyDescent="0.2">
      <c r="D73" s="45"/>
    </row>
    <row r="74" spans="2:11" x14ac:dyDescent="0.2">
      <c r="D74" s="45"/>
    </row>
    <row r="75" spans="2:11" x14ac:dyDescent="0.2">
      <c r="D75" s="45"/>
    </row>
    <row r="76" spans="2:11" x14ac:dyDescent="0.2">
      <c r="D76" s="45"/>
    </row>
  </sheetData>
  <mergeCells count="1">
    <mergeCell ref="B8:G8"/>
  </mergeCells>
  <conditionalFormatting sqref="B27:B45 B47:B70">
    <cfRule type="expression" dxfId="248" priority="7" stopIfTrue="1">
      <formula>J27="closing"</formula>
    </cfRule>
    <cfRule type="expression" dxfId="247" priority="8" stopIfTrue="1">
      <formula>J27="closed"</formula>
    </cfRule>
    <cfRule type="expression" dxfId="246" priority="9" stopIfTrue="1">
      <formula>J27="ROLL"</formula>
    </cfRule>
    <cfRule type="expression" dxfId="245" priority="10" stopIfTrue="1">
      <formula>AND(ISNUMBER(SEARCH("call", B27)), J27="expired")</formula>
    </cfRule>
    <cfRule type="expression" dxfId="244" priority="11" stopIfTrue="1">
      <formula>AND(ISNUMBER(SEARCH("call", B27)), J27="assigned")</formula>
    </cfRule>
    <cfRule type="expression" dxfId="243" priority="12" stopIfTrue="1">
      <formula>J27="assigned"</formula>
    </cfRule>
    <cfRule type="expression" dxfId="242" priority="13">
      <formula>J27="expired"</formula>
    </cfRule>
  </conditionalFormatting>
  <conditionalFormatting sqref="B46">
    <cfRule type="expression" dxfId="241" priority="1" stopIfTrue="1">
      <formula>J46="closed"</formula>
    </cfRule>
    <cfRule type="expression" dxfId="240" priority="2" stopIfTrue="1">
      <formula>J46="ROLL"</formula>
    </cfRule>
    <cfRule type="expression" dxfId="239" priority="3" stopIfTrue="1">
      <formula>AND(ISNUMBER(SEARCH("call", B46)), J46="expired")</formula>
    </cfRule>
    <cfRule type="expression" dxfId="238" priority="4" stopIfTrue="1">
      <formula>AND(ISNUMBER(SEARCH("call", B46)), J46="assigned")</formula>
    </cfRule>
    <cfRule type="expression" dxfId="237" priority="5" stopIfTrue="1">
      <formula>J46="assigned"</formula>
    </cfRule>
    <cfRule type="expression" dxfId="236" priority="6">
      <formula>J46="expired"</formula>
    </cfRule>
  </conditionalFormatting>
  <pageMargins left="0.7" right="0.7" top="0.75" bottom="0.75" header="0.3" footer="0.3"/>
  <pageSetup paperSize="0" orientation="portrait" r:id="rId1"/>
</worksheet>
</file>

<file path=xl/worksheets/sheet3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D610-86DD-D244-8580-766BDA83A4A9}">
  <sheetPr codeName="Sheet52"/>
  <dimension ref="B1:N79"/>
  <sheetViews>
    <sheetView zoomScale="120" zoomScaleNormal="120" workbookViewId="0">
      <selection activeCell="N2" sqref="N2:N6"/>
    </sheetView>
  </sheetViews>
  <sheetFormatPr baseColWidth="10" defaultColWidth="8.83203125" defaultRowHeight="15" x14ac:dyDescent="0.2"/>
  <cols>
    <col min="1" max="1" width="6" customWidth="1"/>
    <col min="2" max="2" width="37.1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69</v>
      </c>
      <c r="C1" s="197"/>
    </row>
    <row r="2" spans="2:14" x14ac:dyDescent="0.2">
      <c r="B2" s="1" t="s">
        <v>436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-437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>
        <v>223.1</v>
      </c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>
        <v>210</v>
      </c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21" customHeight="1" x14ac:dyDescent="0.2">
      <c r="B41" s="39" t="s">
        <v>437</v>
      </c>
      <c r="C41" s="58" t="d">
        <v>2025-05-06</v>
      </c>
      <c r="D41" s="16"/>
      <c r="E41" s="155"/>
      <c r="F41" s="21"/>
      <c r="G41" s="36">
        <v>-151</v>
      </c>
      <c r="H41" s="20"/>
      <c r="I41" s="36">
        <f>I13+G41</f>
        <v>-151</v>
      </c>
      <c r="J41" s="31" t="s">
        <v>10</v>
      </c>
      <c r="K41" s="36" t="e">
        <f>I41/SUM($E$11:E41)</f>
        <v>#DIV/0!</v>
      </c>
    </row>
    <row r="42" spans="2:11" ht="16" x14ac:dyDescent="0.2">
      <c r="B42" s="39" t="s">
        <v>451</v>
      </c>
      <c r="C42" s="58" t="d">
        <v>2025-06-23</v>
      </c>
      <c r="D42" s="16"/>
      <c r="E42" s="155"/>
      <c r="F42" s="21"/>
      <c r="G42" s="36">
        <f>-2*143</f>
        <v>-286</v>
      </c>
      <c r="H42" s="17"/>
      <c r="I42" s="36">
        <f t="shared" ref="I42:I76" si="2">I41+G42</f>
        <v>-437</v>
      </c>
      <c r="J42" s="31"/>
      <c r="K42" s="36" t="e">
        <f>I42/SUM($E$11:E42)</f>
        <v>#DIV/0!</v>
      </c>
    </row>
    <row r="43" spans="2:11" x14ac:dyDescent="0.2">
      <c r="B43" s="39"/>
      <c r="C43" s="58"/>
      <c r="D43" s="16"/>
      <c r="E43" s="155"/>
      <c r="G43" s="36">
        <v>0</v>
      </c>
      <c r="H43" s="17"/>
      <c r="I43" s="36">
        <f t="shared" si="2"/>
        <v>-437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-437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-437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-437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-437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-437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-437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-437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-437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-437</v>
      </c>
      <c r="J52" s="31"/>
      <c r="K52" s="36" t="e">
        <f>I52/SUM($E$11:E52)</f>
        <v>#DIV/0!</v>
      </c>
    </row>
    <row r="53" spans="2:11" ht="18" customHeight="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-437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-437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-437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-437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-437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-437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-437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-437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-437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-437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-437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-437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-437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-437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-437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-437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-437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-437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-437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-437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-437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-437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-437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-437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-437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235" priority="8" stopIfTrue="1">
      <formula>J77="assigned"</formula>
    </cfRule>
    <cfRule type="expression" dxfId="234" priority="9">
      <formula>J77="expired"</formula>
    </cfRule>
  </conditionalFormatting>
  <conditionalFormatting sqref="B77:B116">
    <cfRule type="expression" dxfId="233" priority="6">
      <formula>AND(ISNUMBER(SEARCH("call", B77)), J77="expired")</formula>
    </cfRule>
    <cfRule type="expression" dxfId="232" priority="7">
      <formula>AND(ISNUMBER(SEARCH("call", B77)), J77="assigned")</formula>
    </cfRule>
  </conditionalFormatting>
  <conditionalFormatting sqref="B41:B76">
    <cfRule type="expression" dxfId="231" priority="1" stopIfTrue="1">
      <formula>J41="ROLL"</formula>
    </cfRule>
    <cfRule type="expression" dxfId="230" priority="2" stopIfTrue="1">
      <formula>AND(ISNUMBER(SEARCH("call", B41)), J41="expired")</formula>
    </cfRule>
    <cfRule type="expression" dxfId="229" priority="3" stopIfTrue="1">
      <formula>AND(ISNUMBER(SEARCH("call", B41)), J41="assigned")</formula>
    </cfRule>
    <cfRule type="expression" dxfId="228" priority="4" stopIfTrue="1">
      <formula>J41="assigned"</formula>
    </cfRule>
    <cfRule type="expression" dxfId="227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3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A381-CDE1-D74E-ADFE-9DBE197E4A7C}">
  <sheetPr codeName="Sheet20"/>
  <dimension ref="B1:K58"/>
  <sheetViews>
    <sheetView topLeftCell="A20" zoomScale="110" zoomScaleNormal="110" workbookViewId="0">
      <selection activeCell="J53" sqref="J53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customWidth="1"/>
    <col min="4" max="4" width="12.83203125" customWidth="1"/>
    <col min="5" max="5" width="10.83203125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</cols>
  <sheetData>
    <row r="1" spans="2:11" ht="20" customHeight="1" x14ac:dyDescent="0.2">
      <c r="B1" s="197" t="s">
        <v>105</v>
      </c>
      <c r="C1" s="197"/>
    </row>
    <row r="2" spans="2:11" x14ac:dyDescent="0.2">
      <c r="B2" s="197"/>
      <c r="C2" s="197"/>
      <c r="D2" s="2"/>
      <c r="E2" s="2"/>
      <c r="F2" s="3"/>
      <c r="G2" s="4"/>
    </row>
    <row r="3" spans="2:11" ht="19" x14ac:dyDescent="0.25">
      <c r="B3" s="5"/>
      <c r="C3" s="6"/>
      <c r="D3" s="6"/>
      <c r="E3" s="6"/>
      <c r="F3" s="7" t="s">
        <v>0</v>
      </c>
      <c r="G3" s="8">
        <f>IF(ISERROR(SUM(G22,G57)/G4),SUM(G22,G57),SUM(G22,G57)/G4)</f>
        <v>66.08</v>
      </c>
      <c r="I3" t="s">
        <v>279</v>
      </c>
      <c r="J3" s="30">
        <v>76.75</v>
      </c>
      <c r="K3" s="6"/>
    </row>
    <row r="4" spans="2:11" x14ac:dyDescent="0.2">
      <c r="B4" s="1"/>
      <c r="C4" s="2"/>
      <c r="D4" s="2"/>
      <c r="E4" s="2"/>
      <c r="F4" s="3" t="s">
        <v>2</v>
      </c>
      <c r="G4" s="9">
        <f>SUM(E11:E21)</f>
        <v>200</v>
      </c>
    </row>
    <row r="5" spans="2:11" x14ac:dyDescent="0.2">
      <c r="C5" s="2"/>
      <c r="D5" s="2"/>
      <c r="E5" s="2"/>
      <c r="F5" s="3"/>
      <c r="G5" s="4"/>
    </row>
    <row r="6" spans="2:11" x14ac:dyDescent="0.2">
      <c r="B6" s="15"/>
      <c r="C6" s="17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15"/>
      <c r="C7" s="17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x14ac:dyDescent="0.2">
      <c r="B9" s="12" t="s">
        <v>11</v>
      </c>
      <c r="C9" s="11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12"/>
      <c r="C10" s="11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15" t="s">
        <v>23</v>
      </c>
      <c r="C11" s="58" t="d">
        <v>2024-11-26</v>
      </c>
      <c r="D11" s="53"/>
      <c r="E11" s="17">
        <v>100</v>
      </c>
      <c r="F11" s="21">
        <v>77.94</v>
      </c>
      <c r="G11" s="44">
        <f>E11*F11</f>
        <v>7794</v>
      </c>
      <c r="H11" s="20"/>
      <c r="I11" s="36">
        <f>G11</f>
        <v>7794</v>
      </c>
      <c r="J11" s="31"/>
      <c r="K11" s="36">
        <f>I11/E11</f>
        <v>77.94</v>
      </c>
    </row>
    <row r="12" spans="2:11" x14ac:dyDescent="0.2">
      <c r="B12" s="15" t="s">
        <v>24</v>
      </c>
      <c r="C12" s="58" t="d">
        <v>2025-01-02</v>
      </c>
      <c r="D12" s="53"/>
      <c r="E12" s="17"/>
      <c r="F12" s="21"/>
      <c r="G12" s="36">
        <v>-40</v>
      </c>
      <c r="H12" s="20"/>
      <c r="I12" s="36">
        <f>I11+G12</f>
        <v>7754</v>
      </c>
      <c r="J12" s="31"/>
      <c r="K12" s="36">
        <f>I12/SUM($E$11:E12)</f>
        <v>77.540000000000006</v>
      </c>
    </row>
    <row r="13" spans="2:11" x14ac:dyDescent="0.2">
      <c r="B13" s="15" t="s">
        <v>264</v>
      </c>
      <c r="C13" s="58" t="d">
        <v>2025-02-10</v>
      </c>
      <c r="D13" s="53"/>
      <c r="E13" s="17">
        <v>100</v>
      </c>
      <c r="F13" s="21">
        <v>70</v>
      </c>
      <c r="G13" s="36">
        <f t="shared" ref="G13:G21" si="0">E13*F13</f>
        <v>7000</v>
      </c>
      <c r="H13" s="20"/>
      <c r="I13" s="36">
        <f>I12+G13</f>
        <v>14754</v>
      </c>
      <c r="J13" s="31"/>
      <c r="K13" s="36">
        <f>I13/SUM($E$11:E13)</f>
        <v>73.77</v>
      </c>
    </row>
    <row r="14" spans="2:11" x14ac:dyDescent="0.2">
      <c r="B14" s="15" t="s">
        <v>24</v>
      </c>
      <c r="C14" s="58" t="d">
        <v>2025-04-01</v>
      </c>
      <c r="D14" s="53"/>
      <c r="E14" s="17"/>
      <c r="F14" s="21"/>
      <c r="G14" s="36">
        <v>-80</v>
      </c>
      <c r="H14" s="20"/>
      <c r="I14" s="36">
        <f t="shared" ref="I14:I21" si="1">I13+G14</f>
        <v>14674</v>
      </c>
      <c r="J14" s="31"/>
      <c r="K14" s="36">
        <f>I14/SUM($E$11:E14)</f>
        <v>73.37</v>
      </c>
    </row>
    <row r="15" spans="2:11" x14ac:dyDescent="0.2">
      <c r="B15" s="15" t="s">
        <v>24</v>
      </c>
      <c r="C15" s="58" t="d">
        <v>2025-07-01</v>
      </c>
      <c r="D15" s="53"/>
      <c r="E15" s="17"/>
      <c r="F15" s="21"/>
      <c r="G15" s="36">
        <v>-80</v>
      </c>
      <c r="H15" s="20"/>
      <c r="I15" s="36">
        <f t="shared" si="1"/>
        <v>14594</v>
      </c>
      <c r="J15" s="31"/>
      <c r="K15" s="36">
        <f>I15/SUM($E$11:E15)</f>
        <v>72.97</v>
      </c>
    </row>
    <row r="16" spans="2:11" x14ac:dyDescent="0.2">
      <c r="B16" s="15"/>
      <c r="C16" s="58" t="d">
        <v>2025-10-01</v>
      </c>
      <c r="D16" s="53"/>
      <c r="E16" s="17"/>
      <c r="F16" s="21"/>
      <c r="G16" s="36">
        <v>-80</v>
      </c>
      <c r="H16" s="20"/>
      <c r="I16" s="36">
        <f t="shared" si="1"/>
        <v>14514</v>
      </c>
      <c r="J16" s="31"/>
      <c r="K16" s="36">
        <f>I16/SUM($E$11:E16)</f>
        <v>72.569999999999993</v>
      </c>
    </row>
    <row r="17" spans="2:11" x14ac:dyDescent="0.2">
      <c r="B17" s="15"/>
      <c r="C17" s="58"/>
      <c r="D17" s="53"/>
      <c r="E17" s="17"/>
      <c r="F17" s="21"/>
      <c r="G17" s="36">
        <f t="shared" si="0"/>
        <v>0</v>
      </c>
      <c r="H17" s="20"/>
      <c r="I17" s="36">
        <f t="shared" si="1"/>
        <v>14514</v>
      </c>
      <c r="J17" s="31"/>
      <c r="K17" s="36">
        <f>I17/SUM($E$11:E17)</f>
        <v>72.569999999999993</v>
      </c>
    </row>
    <row r="18" spans="2:11" x14ac:dyDescent="0.2">
      <c r="B18" s="15"/>
      <c r="C18" s="58"/>
      <c r="D18" s="53"/>
      <c r="E18" s="17"/>
      <c r="F18" s="21"/>
      <c r="G18" s="36">
        <f t="shared" si="0"/>
        <v>0</v>
      </c>
      <c r="H18" s="20"/>
      <c r="I18" s="36">
        <f t="shared" si="1"/>
        <v>14514</v>
      </c>
      <c r="J18" s="31"/>
      <c r="K18" s="36">
        <f>I18/SUM($E$11:E18)</f>
        <v>72.569999999999993</v>
      </c>
    </row>
    <row r="19" spans="2:11" x14ac:dyDescent="0.2">
      <c r="B19" s="15"/>
      <c r="C19" s="58"/>
      <c r="D19" s="53"/>
      <c r="E19" s="17"/>
      <c r="F19" s="21"/>
      <c r="G19" s="36">
        <f t="shared" si="0"/>
        <v>0</v>
      </c>
      <c r="H19" s="20"/>
      <c r="I19" s="36">
        <f t="shared" si="1"/>
        <v>14514</v>
      </c>
      <c r="J19" s="31"/>
      <c r="K19" s="36">
        <f>I19/SUM($E$11:E19)</f>
        <v>72.569999999999993</v>
      </c>
    </row>
    <row r="20" spans="2:11" x14ac:dyDescent="0.2">
      <c r="B20" s="15"/>
      <c r="C20" s="58"/>
      <c r="D20" s="53"/>
      <c r="E20" s="17"/>
      <c r="F20" s="21"/>
      <c r="G20" s="36">
        <f t="shared" si="0"/>
        <v>0</v>
      </c>
      <c r="H20" s="20"/>
      <c r="I20" s="36">
        <f t="shared" si="1"/>
        <v>14514</v>
      </c>
      <c r="J20" s="31"/>
      <c r="K20" s="36">
        <f>I20/SUM($E$11:E20)</f>
        <v>72.569999999999993</v>
      </c>
    </row>
    <row r="21" spans="2:11" x14ac:dyDescent="0.2">
      <c r="B21" s="15"/>
      <c r="C21" s="58"/>
      <c r="D21" s="53"/>
      <c r="E21" s="17"/>
      <c r="F21" s="21"/>
      <c r="G21" s="36">
        <f t="shared" si="0"/>
        <v>0</v>
      </c>
      <c r="H21" s="20"/>
      <c r="I21" s="36">
        <f t="shared" si="1"/>
        <v>14514</v>
      </c>
      <c r="J21" s="31"/>
      <c r="K21" s="36">
        <f>I21/SUM($E$11:E21)</f>
        <v>72.569999999999993</v>
      </c>
    </row>
    <row r="22" spans="2:11" ht="19" x14ac:dyDescent="0.25">
      <c r="B22" s="15"/>
      <c r="C22" s="58"/>
      <c r="D22" s="53"/>
      <c r="E22" s="17"/>
      <c r="F22" s="18"/>
      <c r="G22" s="165">
        <f>SUM(G11:G21)</f>
        <v>14514</v>
      </c>
      <c r="H22" s="159"/>
      <c r="I22" s="160"/>
      <c r="J22" s="161"/>
      <c r="K22" s="165">
        <f>SUM(G11:G21)/SUM(E11:E21)</f>
        <v>72.569999999999993</v>
      </c>
    </row>
    <row r="23" spans="2:11" ht="6" customHeight="1" x14ac:dyDescent="0.2">
      <c r="B23" s="15"/>
      <c r="C23" s="58"/>
      <c r="D23" s="53"/>
      <c r="E23" s="17"/>
      <c r="F23" s="18"/>
      <c r="G23" s="19"/>
      <c r="H23" s="20"/>
      <c r="I23" s="20"/>
      <c r="J23" s="31"/>
      <c r="K23" s="17"/>
    </row>
    <row r="24" spans="2:11" ht="6.5" customHeight="1" x14ac:dyDescent="0.2">
      <c r="B24" s="15"/>
      <c r="C24" s="58"/>
      <c r="D24" s="53"/>
      <c r="E24" s="17"/>
      <c r="F24" s="18"/>
      <c r="G24" s="19"/>
      <c r="H24" s="20"/>
      <c r="I24" s="20"/>
      <c r="J24" s="31"/>
      <c r="K24" s="17"/>
    </row>
    <row r="25" spans="2:11" ht="16" x14ac:dyDescent="0.2">
      <c r="B25" s="39" t="s">
        <v>162</v>
      </c>
      <c r="C25" s="58" t="d">
        <v>2024-11-26</v>
      </c>
      <c r="D25" s="53"/>
      <c r="E25" s="17"/>
      <c r="F25" s="128">
        <v>77.8</v>
      </c>
      <c r="G25" s="36">
        <v>-19</v>
      </c>
      <c r="H25" s="20"/>
      <c r="I25" s="36">
        <f>I13+G25</f>
        <v>14735</v>
      </c>
      <c r="J25" s="31" t="s">
        <v>10</v>
      </c>
      <c r="K25" s="36">
        <f>I25/SUM($E$11:E25)</f>
        <v>73.674999999999997</v>
      </c>
    </row>
    <row r="26" spans="2:11" ht="16" x14ac:dyDescent="0.2">
      <c r="B26" s="39" t="s">
        <v>163</v>
      </c>
      <c r="C26" s="58" t="d">
        <v>2024-11-26</v>
      </c>
      <c r="D26" s="53"/>
      <c r="E26" s="17"/>
      <c r="F26" s="128">
        <v>77.8</v>
      </c>
      <c r="G26" s="36">
        <v>-131</v>
      </c>
      <c r="H26" s="17"/>
      <c r="I26" s="36">
        <f>I25+G26</f>
        <v>14604</v>
      </c>
      <c r="J26" s="31" t="s">
        <v>10</v>
      </c>
      <c r="K26" s="36">
        <f>I26/SUM($E$11:E26)</f>
        <v>73.02</v>
      </c>
    </row>
    <row r="27" spans="2:11" ht="16" customHeight="1" x14ac:dyDescent="0.2">
      <c r="B27" s="39" t="s">
        <v>171</v>
      </c>
      <c r="C27" s="58" t="d">
        <v>2024-12-02</v>
      </c>
      <c r="D27" s="53"/>
      <c r="E27" s="17"/>
      <c r="F27" s="128">
        <v>79.040000000000006</v>
      </c>
      <c r="G27" s="36">
        <v>-61</v>
      </c>
      <c r="H27" s="17"/>
      <c r="I27" s="36">
        <f t="shared" ref="I27:I42" si="2">I26+G27</f>
        <v>14543</v>
      </c>
      <c r="J27" s="31" t="s">
        <v>10</v>
      </c>
      <c r="K27" s="36">
        <f>I27/SUM($E$11:E27)</f>
        <v>72.715000000000003</v>
      </c>
    </row>
    <row r="28" spans="2:11" ht="16" customHeight="1" x14ac:dyDescent="0.2">
      <c r="B28" s="39" t="s">
        <v>180</v>
      </c>
      <c r="C28" s="58" t="d">
        <v>2024-12-03</v>
      </c>
      <c r="D28" s="53"/>
      <c r="E28" s="17"/>
      <c r="F28" s="128">
        <v>78.8</v>
      </c>
      <c r="G28" s="36">
        <v>-93</v>
      </c>
      <c r="H28" s="17"/>
      <c r="I28" s="36">
        <f t="shared" si="2"/>
        <v>14450</v>
      </c>
      <c r="J28" s="31" t="s">
        <v>10</v>
      </c>
      <c r="K28" s="36">
        <f>I28/SUM($E$11:E28)</f>
        <v>72.25</v>
      </c>
    </row>
    <row r="29" spans="2:11" ht="16" x14ac:dyDescent="0.2">
      <c r="B29" s="39" t="s">
        <v>185</v>
      </c>
      <c r="C29" s="58" t="d">
        <v>2024-12-09</v>
      </c>
      <c r="D29" s="53"/>
      <c r="E29" s="17"/>
      <c r="F29" s="128">
        <v>77.72</v>
      </c>
      <c r="G29" s="36">
        <v>-47</v>
      </c>
      <c r="H29" s="17"/>
      <c r="I29" s="36">
        <f t="shared" si="2"/>
        <v>14403</v>
      </c>
      <c r="J29" s="31" t="s">
        <v>10</v>
      </c>
      <c r="K29" s="36">
        <f>I29/SUM($E$11:E29)</f>
        <v>72.015000000000001</v>
      </c>
    </row>
    <row r="30" spans="2:11" ht="16" x14ac:dyDescent="0.2">
      <c r="B30" s="39" t="s">
        <v>200</v>
      </c>
      <c r="C30" s="58" t="d">
        <v>2024-12-16</v>
      </c>
      <c r="D30" s="53"/>
      <c r="E30" s="17"/>
      <c r="F30" s="128"/>
      <c r="G30" s="36">
        <v>-28</v>
      </c>
      <c r="H30" s="17"/>
      <c r="I30" s="36">
        <f t="shared" si="2"/>
        <v>14375</v>
      </c>
      <c r="J30" s="31" t="s">
        <v>10</v>
      </c>
      <c r="K30" s="36">
        <f>I30/SUM($E$11:E30)</f>
        <v>71.875</v>
      </c>
    </row>
    <row r="31" spans="2:11" ht="16" x14ac:dyDescent="0.2">
      <c r="B31" s="39" t="s">
        <v>212</v>
      </c>
      <c r="C31" s="58" t="d">
        <v>2024-12-23</v>
      </c>
      <c r="D31" s="53"/>
      <c r="E31" s="17"/>
      <c r="F31" s="128">
        <v>76.819999999999993</v>
      </c>
      <c r="G31" s="36">
        <v>-25</v>
      </c>
      <c r="H31" s="17"/>
      <c r="I31" s="36">
        <f t="shared" si="2"/>
        <v>14350</v>
      </c>
      <c r="J31" s="31" t="s">
        <v>10</v>
      </c>
      <c r="K31" s="36">
        <f>I31/SUM($E$11:E31)</f>
        <v>71.75</v>
      </c>
    </row>
    <row r="32" spans="2:11" ht="16" x14ac:dyDescent="0.2">
      <c r="B32" s="39" t="s">
        <v>223</v>
      </c>
      <c r="C32" s="58" t="d">
        <v>2025-01-13</v>
      </c>
      <c r="D32" s="53"/>
      <c r="E32" s="17"/>
      <c r="F32" s="128"/>
      <c r="G32" s="36">
        <v>-17</v>
      </c>
      <c r="H32" s="17"/>
      <c r="I32" s="36">
        <f t="shared" si="2"/>
        <v>14333</v>
      </c>
      <c r="J32" s="31" t="s">
        <v>10</v>
      </c>
      <c r="K32" s="36">
        <f>I32/SUM($E$11:E32)</f>
        <v>71.665000000000006</v>
      </c>
    </row>
    <row r="33" spans="2:11" ht="16" x14ac:dyDescent="0.2">
      <c r="B33" s="39" t="s">
        <v>231</v>
      </c>
      <c r="C33" s="58" t="d">
        <v>2025-01-21</v>
      </c>
      <c r="D33" s="53"/>
      <c r="E33" s="17"/>
      <c r="F33" s="128"/>
      <c r="G33" s="36">
        <v>-39</v>
      </c>
      <c r="H33" s="17"/>
      <c r="I33" s="36">
        <f t="shared" si="2"/>
        <v>14294</v>
      </c>
      <c r="J33" s="31" t="s">
        <v>10</v>
      </c>
      <c r="K33" s="36">
        <f>I33/SUM($E$11:E33)</f>
        <v>71.47</v>
      </c>
    </row>
    <row r="34" spans="2:11" ht="16" x14ac:dyDescent="0.2">
      <c r="B34" s="39" t="s">
        <v>263</v>
      </c>
      <c r="C34" s="58" t="d">
        <v>2025-02-03</v>
      </c>
      <c r="D34" s="53"/>
      <c r="E34" s="17"/>
      <c r="F34" s="128"/>
      <c r="G34" s="36">
        <v>-16</v>
      </c>
      <c r="H34" s="17"/>
      <c r="I34" s="36">
        <f t="shared" si="2"/>
        <v>14278</v>
      </c>
      <c r="J34" s="31" t="s">
        <v>122</v>
      </c>
      <c r="K34" s="36">
        <f>I34/SUM($E$11:E34)</f>
        <v>71.39</v>
      </c>
    </row>
    <row r="35" spans="2:11" ht="16" x14ac:dyDescent="0.2">
      <c r="B35" s="39" t="s">
        <v>276</v>
      </c>
      <c r="C35" s="58" t="d">
        <v>2025-02-11</v>
      </c>
      <c r="D35" s="53"/>
      <c r="E35" s="17"/>
      <c r="F35" s="128"/>
      <c r="G35" s="36">
        <f>-17*2</f>
        <v>-34</v>
      </c>
      <c r="H35" s="17"/>
      <c r="I35" s="36">
        <f t="shared" si="2"/>
        <v>14244</v>
      </c>
      <c r="J35" s="31" t="s">
        <v>10</v>
      </c>
      <c r="K35" s="36">
        <f>I35/SUM($E$11:E35)</f>
        <v>71.22</v>
      </c>
    </row>
    <row r="36" spans="2:11" ht="16" x14ac:dyDescent="0.2">
      <c r="B36" s="39" t="s">
        <v>286</v>
      </c>
      <c r="C36" s="58" t="d">
        <v>2025-03-10</v>
      </c>
      <c r="D36" s="53"/>
      <c r="E36" s="17"/>
      <c r="F36" s="128"/>
      <c r="G36" s="36">
        <v>-18</v>
      </c>
      <c r="H36" s="17"/>
      <c r="I36" s="36">
        <f t="shared" si="2"/>
        <v>14226</v>
      </c>
      <c r="J36" s="31" t="s">
        <v>281</v>
      </c>
      <c r="K36" s="36">
        <f>I36/SUM($E$11:E36)</f>
        <v>71.13</v>
      </c>
    </row>
    <row r="37" spans="2:11" ht="16" x14ac:dyDescent="0.2">
      <c r="B37" s="39" t="s">
        <v>287</v>
      </c>
      <c r="C37" s="58" t="d">
        <v>2025-03-10</v>
      </c>
      <c r="D37" s="53"/>
      <c r="E37" s="17"/>
      <c r="F37" s="128"/>
      <c r="G37" s="36">
        <v>-50</v>
      </c>
      <c r="H37" s="17"/>
      <c r="I37" s="36">
        <f t="shared" si="2"/>
        <v>14176</v>
      </c>
      <c r="J37" s="31" t="s">
        <v>10</v>
      </c>
      <c r="K37" s="36">
        <f>I37/SUM($E$11:E37)</f>
        <v>70.88</v>
      </c>
    </row>
    <row r="38" spans="2:11" ht="32" x14ac:dyDescent="0.2">
      <c r="B38" s="39" t="s">
        <v>293</v>
      </c>
      <c r="C38" s="58" t="d">
        <v>2025-03-14</v>
      </c>
      <c r="D38" s="53"/>
      <c r="E38" s="17"/>
      <c r="F38" s="128"/>
      <c r="G38" s="36">
        <v>-40</v>
      </c>
      <c r="H38" s="17"/>
      <c r="I38" s="36">
        <f t="shared" si="2"/>
        <v>14136</v>
      </c>
      <c r="J38" s="31" t="s">
        <v>281</v>
      </c>
      <c r="K38" s="36">
        <f>I38/SUM($E$11:E38)</f>
        <v>70.680000000000007</v>
      </c>
    </row>
    <row r="39" spans="2:11" ht="16" x14ac:dyDescent="0.2">
      <c r="B39" s="39" t="s">
        <v>358</v>
      </c>
      <c r="C39" s="58" t="d">
        <v>2025-03-18</v>
      </c>
      <c r="D39" s="53"/>
      <c r="E39" s="17"/>
      <c r="F39" s="128"/>
      <c r="G39" s="36">
        <v>-19</v>
      </c>
      <c r="H39" s="17"/>
      <c r="I39" s="36">
        <f t="shared" si="2"/>
        <v>14117</v>
      </c>
      <c r="J39" s="31" t="s">
        <v>10</v>
      </c>
      <c r="K39" s="36">
        <f>I39/SUM($E$11:E39)</f>
        <v>70.584999999999994</v>
      </c>
    </row>
    <row r="40" spans="2:11" ht="16" x14ac:dyDescent="0.2">
      <c r="B40" s="39" t="s">
        <v>359</v>
      </c>
      <c r="C40" s="58" t="d">
        <v>2025-03-21</v>
      </c>
      <c r="D40" s="16"/>
      <c r="E40" s="17"/>
      <c r="F40" s="128"/>
      <c r="G40" s="36">
        <v>-29</v>
      </c>
      <c r="H40" s="17"/>
      <c r="I40" s="36">
        <f t="shared" si="2"/>
        <v>14088</v>
      </c>
      <c r="J40" s="31" t="s">
        <v>281</v>
      </c>
      <c r="K40" s="36">
        <f>I40/SUM($E$11:E40)</f>
        <v>70.44</v>
      </c>
    </row>
    <row r="41" spans="2:11" ht="32" x14ac:dyDescent="0.2">
      <c r="B41" s="39" t="s">
        <v>360</v>
      </c>
      <c r="C41" s="58" t="d">
        <v>2025-03-28</v>
      </c>
      <c r="D41" s="16"/>
      <c r="E41" s="17"/>
      <c r="F41" s="128"/>
      <c r="G41" s="36">
        <v>-2</v>
      </c>
      <c r="H41" s="17"/>
      <c r="I41" s="36">
        <f t="shared" si="2"/>
        <v>14086</v>
      </c>
      <c r="J41" s="31" t="s">
        <v>281</v>
      </c>
      <c r="K41" s="36">
        <f>I41/SUM($E$11:E41)</f>
        <v>70.430000000000007</v>
      </c>
    </row>
    <row r="42" spans="2:11" ht="32" x14ac:dyDescent="0.2">
      <c r="B42" s="39" t="s">
        <v>558</v>
      </c>
      <c r="C42" s="58" t="d">
        <v>2025-04-15</v>
      </c>
      <c r="D42" s="16"/>
      <c r="E42" s="17"/>
      <c r="F42" s="128"/>
      <c r="G42" s="36">
        <v>-89</v>
      </c>
      <c r="H42" s="17"/>
      <c r="I42" s="36">
        <f t="shared" si="2"/>
        <v>13997</v>
      </c>
      <c r="J42" s="31"/>
      <c r="K42" s="36">
        <f>I42/SUM($E$11:E42)</f>
        <v>69.984999999999999</v>
      </c>
    </row>
    <row r="43" spans="2:11" ht="32" x14ac:dyDescent="0.2">
      <c r="B43" s="39" t="s">
        <v>472</v>
      </c>
      <c r="C43" s="58" t="d">
        <v>2025-06-10</v>
      </c>
      <c r="D43" s="16"/>
      <c r="E43" s="17"/>
      <c r="F43" s="128"/>
      <c r="G43" s="36">
        <v>-39</v>
      </c>
      <c r="H43" s="20"/>
      <c r="I43" s="36">
        <f>I32+G43</f>
        <v>14294</v>
      </c>
      <c r="J43" s="31" t="s">
        <v>10</v>
      </c>
      <c r="K43" s="36">
        <f>I43/SUM($E$11:E43)</f>
        <v>71.47</v>
      </c>
    </row>
    <row r="44" spans="2:11" ht="16" x14ac:dyDescent="0.2">
      <c r="B44" s="39" t="s">
        <v>473</v>
      </c>
      <c r="C44" s="58" t="d">
        <v>2025-06-10</v>
      </c>
      <c r="D44" s="16"/>
      <c r="E44" s="17"/>
      <c r="F44" s="128"/>
      <c r="G44" s="36">
        <v>-40</v>
      </c>
      <c r="H44" s="20"/>
      <c r="I44" s="36">
        <f>I33+G44</f>
        <v>14254</v>
      </c>
      <c r="J44" s="31" t="s">
        <v>10</v>
      </c>
      <c r="K44" s="36">
        <f>I44/SUM($E$11:E44)</f>
        <v>71.27</v>
      </c>
    </row>
    <row r="45" spans="2:11" ht="32" x14ac:dyDescent="0.2">
      <c r="B45" s="39" t="s">
        <v>474</v>
      </c>
      <c r="C45" s="58" t="d">
        <v>2025-06-20</v>
      </c>
      <c r="D45" s="16"/>
      <c r="E45" s="17"/>
      <c r="F45" s="128"/>
      <c r="G45" s="36">
        <v>-19</v>
      </c>
      <c r="H45" s="20"/>
      <c r="I45" s="36">
        <f>I34+G45</f>
        <v>14259</v>
      </c>
      <c r="J45" s="31" t="s">
        <v>10</v>
      </c>
      <c r="K45" s="36">
        <f>I45/SUM($E$11:E45)</f>
        <v>71.295000000000002</v>
      </c>
    </row>
    <row r="46" spans="2:11" ht="16" x14ac:dyDescent="0.2">
      <c r="B46" s="39" t="s">
        <v>475</v>
      </c>
      <c r="C46" s="58" t="d">
        <v>2025-06-25</v>
      </c>
      <c r="D46" s="16"/>
      <c r="E46" s="17"/>
      <c r="F46" s="128"/>
      <c r="G46" s="36">
        <v>-44</v>
      </c>
      <c r="H46" s="20"/>
      <c r="I46" s="36">
        <f t="shared" ref="I46:I55" si="3">I35+G46</f>
        <v>14200</v>
      </c>
      <c r="J46" s="31" t="s">
        <v>281</v>
      </c>
      <c r="K46" s="36">
        <f>I46/SUM($E$11:E46)</f>
        <v>71</v>
      </c>
    </row>
    <row r="47" spans="2:11" ht="32" x14ac:dyDescent="0.2">
      <c r="B47" s="39" t="s">
        <v>476</v>
      </c>
      <c r="C47" s="58" t="d">
        <v>2025-06-27</v>
      </c>
      <c r="D47" s="16"/>
      <c r="E47" s="17"/>
      <c r="F47" s="128"/>
      <c r="G47" s="36">
        <v>-24</v>
      </c>
      <c r="H47" s="20"/>
      <c r="I47" s="36">
        <f t="shared" si="3"/>
        <v>14202</v>
      </c>
      <c r="J47" s="31" t="s">
        <v>281</v>
      </c>
      <c r="K47" s="36">
        <f>I47/SUM($E$11:E47)</f>
        <v>71.010000000000005</v>
      </c>
    </row>
    <row r="48" spans="2:11" ht="32" x14ac:dyDescent="0.2">
      <c r="B48" s="39" t="s">
        <v>555</v>
      </c>
      <c r="C48" s="58" t="d">
        <v>2025-06-27</v>
      </c>
      <c r="D48" s="16"/>
      <c r="E48" s="17"/>
      <c r="F48" s="128"/>
      <c r="G48" s="36">
        <f>-55*2</f>
        <v>-110</v>
      </c>
      <c r="H48" s="20"/>
      <c r="I48" s="36">
        <f t="shared" si="3"/>
        <v>14066</v>
      </c>
      <c r="J48" s="31" t="s">
        <v>281</v>
      </c>
      <c r="K48" s="36">
        <f>I48/SUM($E$11:E48)</f>
        <v>70.33</v>
      </c>
    </row>
    <row r="49" spans="2:11" ht="32" x14ac:dyDescent="0.2">
      <c r="B49" s="39" t="s">
        <v>556</v>
      </c>
      <c r="C49" s="58" t="d">
        <v>2025-07-21</v>
      </c>
      <c r="D49" s="16"/>
      <c r="E49" s="17"/>
      <c r="F49" s="128"/>
      <c r="G49" s="36">
        <v>-60</v>
      </c>
      <c r="H49" s="20"/>
      <c r="I49" s="36">
        <f t="shared" si="3"/>
        <v>14076</v>
      </c>
      <c r="J49" s="31" t="s">
        <v>281</v>
      </c>
      <c r="K49" s="36">
        <f>I49/SUM($E$11:E49)</f>
        <v>70.38</v>
      </c>
    </row>
    <row r="50" spans="2:11" ht="32" x14ac:dyDescent="0.2">
      <c r="B50" s="39" t="s">
        <v>557</v>
      </c>
      <c r="C50" s="58" t="d">
        <v>2025-08-06</v>
      </c>
      <c r="D50" s="16"/>
      <c r="E50" s="17"/>
      <c r="F50" s="128"/>
      <c r="G50" s="36">
        <v>-60</v>
      </c>
      <c r="H50" s="20"/>
      <c r="I50" s="36">
        <f t="shared" si="3"/>
        <v>14057</v>
      </c>
      <c r="J50" s="31" t="s">
        <v>10</v>
      </c>
      <c r="K50" s="36">
        <f>I50/SUM($E$11:E50)</f>
        <v>70.284999999999997</v>
      </c>
    </row>
    <row r="51" spans="2:11" ht="16" x14ac:dyDescent="0.2">
      <c r="B51" s="39" t="s">
        <v>689</v>
      </c>
      <c r="C51" s="58" t="d">
        <v>2025-09-25</v>
      </c>
      <c r="D51" s="16"/>
      <c r="E51" s="17"/>
      <c r="F51" s="128"/>
      <c r="G51" s="36">
        <v>-35</v>
      </c>
      <c r="H51" s="20"/>
      <c r="I51" s="36">
        <f t="shared" si="3"/>
        <v>14053</v>
      </c>
      <c r="J51" s="31" t="s">
        <v>127</v>
      </c>
      <c r="K51" s="36">
        <f>I51/SUM($E$11:E51)</f>
        <v>70.265000000000001</v>
      </c>
    </row>
    <row r="52" spans="2:11" ht="16" x14ac:dyDescent="0.2">
      <c r="B52" s="39" t="s">
        <v>690</v>
      </c>
      <c r="C52" s="58" t="d">
        <v>2025-10-08</v>
      </c>
      <c r="D52" s="16"/>
      <c r="E52" s="17"/>
      <c r="F52" s="128"/>
      <c r="G52" s="36">
        <v>-60</v>
      </c>
      <c r="H52" s="20"/>
      <c r="I52" s="36">
        <f t="shared" si="3"/>
        <v>14026</v>
      </c>
      <c r="J52" s="31" t="s">
        <v>10</v>
      </c>
      <c r="K52" s="36">
        <f>I52/SUM($E$11:E52)</f>
        <v>70.13</v>
      </c>
    </row>
    <row r="53" spans="2:11" ht="16" x14ac:dyDescent="0.2">
      <c r="B53" s="39" t="s">
        <v>691</v>
      </c>
      <c r="C53" s="58" t="d">
        <v>2025-10-27</v>
      </c>
      <c r="D53" s="16"/>
      <c r="E53" s="17"/>
      <c r="F53" s="128"/>
      <c r="G53" s="36">
        <v>-50</v>
      </c>
      <c r="H53" s="20"/>
      <c r="I53" s="36">
        <f t="shared" si="3"/>
        <v>13947</v>
      </c>
      <c r="J53" s="31"/>
      <c r="K53" s="36">
        <f>I53/SUM($E$11:E53)</f>
        <v>69.734999999999999</v>
      </c>
    </row>
    <row r="54" spans="2:11" x14ac:dyDescent="0.2">
      <c r="B54" s="39"/>
      <c r="C54" s="58"/>
      <c r="D54" s="16"/>
      <c r="E54" s="17"/>
      <c r="F54" s="128"/>
      <c r="G54" s="36"/>
      <c r="H54" s="20"/>
      <c r="I54" s="36">
        <f t="shared" si="3"/>
        <v>14294</v>
      </c>
      <c r="J54" s="31"/>
      <c r="K54" s="36">
        <f>I54/SUM($E$11:E54)</f>
        <v>71.47</v>
      </c>
    </row>
    <row r="55" spans="2:11" x14ac:dyDescent="0.2">
      <c r="B55" s="39"/>
      <c r="C55" s="58"/>
      <c r="D55" s="16"/>
      <c r="E55" s="17"/>
      <c r="F55" s="128"/>
      <c r="G55" s="36"/>
      <c r="H55" s="20"/>
      <c r="I55" s="36">
        <f t="shared" si="3"/>
        <v>14254</v>
      </c>
      <c r="J55" s="31"/>
      <c r="K55" s="36">
        <f>I55/SUM($E$11:E55)</f>
        <v>71.27</v>
      </c>
    </row>
    <row r="56" spans="2:11" x14ac:dyDescent="0.2">
      <c r="B56" s="39"/>
      <c r="C56" s="16"/>
      <c r="D56" s="16"/>
      <c r="E56" s="17"/>
      <c r="F56" s="128"/>
      <c r="G56" s="36">
        <v>0</v>
      </c>
      <c r="H56" s="20"/>
      <c r="I56" s="36">
        <f>I35+G56</f>
        <v>14244</v>
      </c>
      <c r="J56" s="31"/>
      <c r="K56" s="36">
        <f>I56/SUM($E$11:E56)</f>
        <v>71.22</v>
      </c>
    </row>
    <row r="57" spans="2:11" ht="19" x14ac:dyDescent="0.25">
      <c r="B57" s="39"/>
      <c r="C57" s="16"/>
      <c r="D57" s="16"/>
      <c r="E57" s="17"/>
      <c r="F57" s="128"/>
      <c r="G57" s="137">
        <f>SUM(G25:G56)</f>
        <v>-1298</v>
      </c>
      <c r="H57" s="159"/>
      <c r="I57" s="160"/>
      <c r="J57" s="161"/>
      <c r="K57" s="165">
        <f>SUM(G22,G57)/G4</f>
        <v>66.08</v>
      </c>
    </row>
    <row r="58" spans="2:11" ht="4.75" customHeight="1" x14ac:dyDescent="0.2">
      <c r="B58" s="15"/>
      <c r="C58" s="17"/>
      <c r="D58" s="17"/>
      <c r="E58" s="17"/>
      <c r="F58" s="18"/>
      <c r="G58" s="19"/>
      <c r="H58" s="20"/>
      <c r="I58" s="20"/>
      <c r="J58" s="31"/>
      <c r="K58" s="17"/>
    </row>
  </sheetData>
  <mergeCells count="2">
    <mergeCell ref="B8:G8"/>
    <mergeCell ref="B1:C2"/>
  </mergeCells>
  <conditionalFormatting sqref="B25:B57">
    <cfRule type="expression" dxfId="226" priority="1" stopIfTrue="1">
      <formula>J25="ROLL"</formula>
    </cfRule>
    <cfRule type="expression" dxfId="225" priority="2" stopIfTrue="1">
      <formula>AND(ISNUMBER(SEARCH("call", B25)), J25="expired")</formula>
    </cfRule>
    <cfRule type="expression" dxfId="224" priority="3" stopIfTrue="1">
      <formula>AND(ISNUMBER(SEARCH("call", B25)), J25="assigned")</formula>
    </cfRule>
    <cfRule type="expression" dxfId="223" priority="4" stopIfTrue="1">
      <formula>J25="assigned"</formula>
    </cfRule>
    <cfRule type="expression" dxfId="222" priority="5">
      <formula>J25="expired"</formula>
    </cfRule>
  </conditionalFormatting>
  <pageMargins left="0.7" right="0.7" top="0.75" bottom="0.75" header="0.3" footer="0.3"/>
  <pageSetup paperSize="0" orientation="portrait" r:id="rId1"/>
</worksheet>
</file>

<file path=xl/worksheets/sheet3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BE7D-90FC-7F42-AE20-571DD2ABE551}">
  <sheetPr codeName="Sheet21"/>
  <dimension ref="B1:L49"/>
  <sheetViews>
    <sheetView zoomScale="110" zoomScaleNormal="110" workbookViewId="0">
      <selection activeCell="J39" sqref="J39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customWidth="1"/>
    <col min="4" max="4" width="12.83203125" customWidth="1"/>
    <col min="5" max="5" width="10.83203125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2" max="12" width="18.1640625" customWidth="1"/>
  </cols>
  <sheetData>
    <row r="1" spans="2:11" x14ac:dyDescent="0.2">
      <c r="B1" s="20"/>
    </row>
    <row r="2" spans="2:11" x14ac:dyDescent="0.2">
      <c r="B2" s="1"/>
      <c r="C2" s="2"/>
      <c r="D2" s="2"/>
      <c r="E2" s="2"/>
      <c r="F2" s="3"/>
      <c r="G2" s="4"/>
    </row>
    <row r="3" spans="2:11" ht="19" x14ac:dyDescent="0.25">
      <c r="B3" s="197" t="s">
        <v>105</v>
      </c>
      <c r="C3" s="197"/>
      <c r="D3" s="6"/>
      <c r="E3" s="6"/>
      <c r="F3" s="7" t="s">
        <v>0</v>
      </c>
      <c r="G3" s="8">
        <f>IF(ISERROR(SUM(G22,G47)/G4),SUM(G22,G47),SUM(G22,G47)/G4)</f>
        <v>74.05</v>
      </c>
      <c r="H3" t="s">
        <v>1</v>
      </c>
      <c r="J3" s="30">
        <v>76.75</v>
      </c>
      <c r="K3" s="6"/>
    </row>
    <row r="4" spans="2:11" x14ac:dyDescent="0.2">
      <c r="B4" s="197"/>
      <c r="C4" s="197"/>
      <c r="D4" s="2"/>
      <c r="E4" s="2"/>
      <c r="F4" s="3" t="s">
        <v>2</v>
      </c>
      <c r="G4" s="9">
        <f>E49</f>
        <v>100</v>
      </c>
    </row>
    <row r="5" spans="2:11" x14ac:dyDescent="0.2">
      <c r="C5" s="2"/>
      <c r="D5" s="2"/>
      <c r="E5" s="2"/>
      <c r="F5" s="3"/>
      <c r="G5" s="4"/>
    </row>
    <row r="6" spans="2:11" x14ac:dyDescent="0.2">
      <c r="B6" s="15"/>
      <c r="C6" s="17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15"/>
      <c r="C7" s="17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x14ac:dyDescent="0.2">
      <c r="B9" s="12" t="s">
        <v>11</v>
      </c>
      <c r="C9" s="11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12"/>
      <c r="C10" s="11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15" t="s">
        <v>126</v>
      </c>
      <c r="C11" s="58" t="d">
        <v>2024-11-01</v>
      </c>
      <c r="D11" s="53"/>
      <c r="E11" s="17">
        <v>100</v>
      </c>
      <c r="F11" s="21">
        <v>80</v>
      </c>
      <c r="G11" s="36">
        <f>E11*F11</f>
        <v>8000</v>
      </c>
      <c r="H11" s="20"/>
      <c r="I11" s="36">
        <f>G11</f>
        <v>8000</v>
      </c>
      <c r="J11" s="31"/>
      <c r="K11" s="36">
        <f>I11/E11</f>
        <v>80</v>
      </c>
    </row>
    <row r="12" spans="2:11" x14ac:dyDescent="0.2">
      <c r="B12" s="15" t="s">
        <v>24</v>
      </c>
      <c r="C12" s="58" t="d">
        <v>2025-01-02</v>
      </c>
      <c r="D12" s="53"/>
      <c r="E12" s="17"/>
      <c r="F12" s="21"/>
      <c r="G12" s="36">
        <v>-40</v>
      </c>
      <c r="H12" s="20"/>
      <c r="I12" s="36">
        <f>I11+G12</f>
        <v>7960</v>
      </c>
      <c r="J12" s="31"/>
      <c r="K12" s="36">
        <f>I12/SUM($E$11:E12)</f>
        <v>79.599999999999994</v>
      </c>
    </row>
    <row r="13" spans="2:11" x14ac:dyDescent="0.2">
      <c r="B13" s="15" t="s">
        <v>24</v>
      </c>
      <c r="C13" s="58" t="d">
        <v>2025-04-01</v>
      </c>
      <c r="D13" s="53"/>
      <c r="E13" s="17"/>
      <c r="F13" s="21"/>
      <c r="G13" s="36">
        <v>-40</v>
      </c>
      <c r="H13" s="20"/>
      <c r="I13" s="36">
        <f>I12+G13</f>
        <v>7920</v>
      </c>
      <c r="J13" s="31"/>
      <c r="K13" s="36">
        <f>I13/SUM($E$11:E13)</f>
        <v>79.2</v>
      </c>
    </row>
    <row r="14" spans="2:11" x14ac:dyDescent="0.2">
      <c r="B14" s="15" t="s">
        <v>24</v>
      </c>
      <c r="C14" s="58" t="d">
        <v>2025-07-01</v>
      </c>
      <c r="D14" s="53"/>
      <c r="E14" s="17"/>
      <c r="F14" s="21"/>
      <c r="G14" s="36">
        <v>-40</v>
      </c>
      <c r="H14" s="20"/>
      <c r="I14" s="36">
        <f t="shared" ref="I14:I21" si="0">I13+G14</f>
        <v>7880</v>
      </c>
      <c r="J14" s="31"/>
      <c r="K14" s="36">
        <f>I14/SUM($E$11:E14)</f>
        <v>78.8</v>
      </c>
    </row>
    <row r="15" spans="2:11" x14ac:dyDescent="0.2">
      <c r="B15" s="15" t="s">
        <v>24</v>
      </c>
      <c r="C15" s="58" t="d">
        <v>2025-10-01</v>
      </c>
      <c r="D15" s="53"/>
      <c r="E15" s="17"/>
      <c r="F15" s="21"/>
      <c r="G15" s="36">
        <v>-40</v>
      </c>
      <c r="H15" s="20"/>
      <c r="I15" s="36">
        <f t="shared" si="0"/>
        <v>7840</v>
      </c>
      <c r="J15" s="31"/>
      <c r="K15" s="36">
        <f>I15/SUM($E$11:E15)</f>
        <v>78.400000000000006</v>
      </c>
    </row>
    <row r="16" spans="2:11" x14ac:dyDescent="0.2">
      <c r="B16" s="15"/>
      <c r="C16" s="58"/>
      <c r="D16" s="53"/>
      <c r="E16" s="17"/>
      <c r="F16" s="21"/>
      <c r="G16" s="36">
        <f t="shared" ref="G16:G21" si="1">E16*F16</f>
        <v>0</v>
      </c>
      <c r="H16" s="20"/>
      <c r="I16" s="36">
        <f t="shared" si="0"/>
        <v>7840</v>
      </c>
      <c r="J16" s="31"/>
      <c r="K16" s="36">
        <f>I16/SUM($E$11:E16)</f>
        <v>78.400000000000006</v>
      </c>
    </row>
    <row r="17" spans="2:12" x14ac:dyDescent="0.2">
      <c r="B17" s="15"/>
      <c r="C17" s="58"/>
      <c r="D17" s="53"/>
      <c r="E17" s="17"/>
      <c r="F17" s="21"/>
      <c r="G17" s="36">
        <f t="shared" si="1"/>
        <v>0</v>
      </c>
      <c r="H17" s="20"/>
      <c r="I17" s="36">
        <f t="shared" si="0"/>
        <v>7840</v>
      </c>
      <c r="J17" s="31"/>
      <c r="K17" s="36">
        <f>I17/SUM($E$11:E17)</f>
        <v>78.400000000000006</v>
      </c>
    </row>
    <row r="18" spans="2:12" x14ac:dyDescent="0.2">
      <c r="B18" s="15"/>
      <c r="C18" s="58"/>
      <c r="D18" s="53"/>
      <c r="E18" s="17"/>
      <c r="F18" s="21"/>
      <c r="G18" s="36">
        <f t="shared" si="1"/>
        <v>0</v>
      </c>
      <c r="H18" s="20"/>
      <c r="I18" s="36">
        <f t="shared" si="0"/>
        <v>7840</v>
      </c>
      <c r="J18" s="31"/>
      <c r="K18" s="36">
        <f>I18/SUM($E$11:E18)</f>
        <v>78.400000000000006</v>
      </c>
    </row>
    <row r="19" spans="2:12" x14ac:dyDescent="0.2">
      <c r="B19" s="15"/>
      <c r="C19" s="58"/>
      <c r="D19" s="53"/>
      <c r="E19" s="17"/>
      <c r="F19" s="21"/>
      <c r="G19" s="36">
        <f t="shared" si="1"/>
        <v>0</v>
      </c>
      <c r="H19" s="20"/>
      <c r="I19" s="36">
        <f t="shared" si="0"/>
        <v>7840</v>
      </c>
      <c r="J19" s="31"/>
      <c r="K19" s="36">
        <f>I19/SUM($E$11:E19)</f>
        <v>78.400000000000006</v>
      </c>
    </row>
    <row r="20" spans="2:12" x14ac:dyDescent="0.2">
      <c r="B20" s="15"/>
      <c r="C20" s="58"/>
      <c r="D20" s="53"/>
      <c r="E20" s="17"/>
      <c r="F20" s="21"/>
      <c r="G20" s="36">
        <f t="shared" si="1"/>
        <v>0</v>
      </c>
      <c r="H20" s="20"/>
      <c r="I20" s="36">
        <f t="shared" si="0"/>
        <v>7840</v>
      </c>
      <c r="J20" s="31"/>
      <c r="K20" s="36">
        <f>I20/SUM($E$11:E20)</f>
        <v>78.400000000000006</v>
      </c>
    </row>
    <row r="21" spans="2:12" x14ac:dyDescent="0.2">
      <c r="B21" s="15"/>
      <c r="C21" s="58"/>
      <c r="D21" s="53"/>
      <c r="E21" s="17"/>
      <c r="F21" s="21"/>
      <c r="G21" s="36">
        <f t="shared" si="1"/>
        <v>0</v>
      </c>
      <c r="H21" s="20"/>
      <c r="I21" s="36">
        <f t="shared" si="0"/>
        <v>7840</v>
      </c>
      <c r="J21" s="31"/>
      <c r="K21" s="36">
        <f>I21/SUM($E$11:E21)</f>
        <v>78.400000000000006</v>
      </c>
    </row>
    <row r="22" spans="2:12" x14ac:dyDescent="0.2">
      <c r="B22" s="15"/>
      <c r="C22" s="58"/>
      <c r="D22" s="53"/>
      <c r="E22" s="17"/>
      <c r="F22" s="18"/>
      <c r="G22" s="22">
        <f>SUM(G11:G21)</f>
        <v>7840</v>
      </c>
      <c r="H22" s="20"/>
      <c r="I22" s="19"/>
      <c r="J22" s="31"/>
      <c r="K22" s="22">
        <f>SUM(G11:G21)/SUM(E11:E21)</f>
        <v>78.400000000000006</v>
      </c>
    </row>
    <row r="23" spans="2:12" ht="6" customHeight="1" x14ac:dyDescent="0.2">
      <c r="B23" s="15"/>
      <c r="C23" s="58"/>
      <c r="D23" s="53"/>
      <c r="E23" s="17"/>
      <c r="F23" s="18"/>
      <c r="G23" s="19"/>
      <c r="H23" s="20"/>
      <c r="I23" s="20"/>
      <c r="J23" s="31"/>
      <c r="K23" s="17"/>
    </row>
    <row r="24" spans="2:12" ht="6.5" customHeight="1" x14ac:dyDescent="0.2">
      <c r="B24" s="15"/>
      <c r="C24" s="58"/>
      <c r="D24" s="53"/>
      <c r="E24" s="17"/>
      <c r="F24" s="18"/>
      <c r="G24" s="19"/>
      <c r="H24" s="20"/>
      <c r="I24" s="20"/>
      <c r="J24" s="31"/>
      <c r="K24" s="17"/>
    </row>
    <row r="25" spans="2:12" ht="16" x14ac:dyDescent="0.2">
      <c r="B25" s="39" t="s">
        <v>106</v>
      </c>
      <c r="C25" s="58" t="d">
        <v>2024-10-22</v>
      </c>
      <c r="D25" s="53"/>
      <c r="E25" s="17"/>
      <c r="F25" s="128">
        <v>85</v>
      </c>
      <c r="G25" s="36">
        <v>-51</v>
      </c>
      <c r="H25" s="20"/>
      <c r="I25" s="36">
        <f>I13+G25</f>
        <v>7869</v>
      </c>
      <c r="J25" s="31" t="s">
        <v>122</v>
      </c>
      <c r="K25" s="36">
        <f>I25/SUM($E$11:E25)</f>
        <v>78.69</v>
      </c>
    </row>
    <row r="26" spans="2:12" ht="16" x14ac:dyDescent="0.2">
      <c r="B26" s="39" t="s">
        <v>134</v>
      </c>
      <c r="C26" s="58" t="d">
        <v>2024-11-01</v>
      </c>
      <c r="D26" s="53"/>
      <c r="E26" s="17"/>
      <c r="F26" s="128">
        <v>0</v>
      </c>
      <c r="G26" s="36">
        <v>-54</v>
      </c>
      <c r="H26" s="17"/>
      <c r="I26" s="36">
        <f>I25+G26</f>
        <v>7815</v>
      </c>
      <c r="J26" s="31" t="s">
        <v>10</v>
      </c>
      <c r="K26" s="36">
        <f>I26/SUM($E$11:E26)</f>
        <v>78.150000000000006</v>
      </c>
    </row>
    <row r="27" spans="2:12" ht="16" customHeight="1" x14ac:dyDescent="0.2">
      <c r="B27" s="39" t="s">
        <v>135</v>
      </c>
      <c r="C27" s="58" t="d">
        <v>2024-11-11</v>
      </c>
      <c r="D27" s="53"/>
      <c r="E27" s="17"/>
      <c r="F27" s="128">
        <v>77.040000000000006</v>
      </c>
      <c r="G27" s="36">
        <v>-27</v>
      </c>
      <c r="H27" s="17"/>
      <c r="I27" s="36">
        <f t="shared" ref="I27:I42" si="2">I26+G27</f>
        <v>7788</v>
      </c>
      <c r="J27" s="31" t="s">
        <v>10</v>
      </c>
      <c r="K27" s="36">
        <f>I27/SUM($E$11:E27)</f>
        <v>77.88</v>
      </c>
    </row>
    <row r="28" spans="2:12" ht="16" customHeight="1" x14ac:dyDescent="0.2">
      <c r="B28" s="39" t="s">
        <v>150</v>
      </c>
      <c r="C28" s="58" t="d">
        <v>2024-11-19</v>
      </c>
      <c r="D28" s="53"/>
      <c r="E28" s="17"/>
      <c r="F28" s="128">
        <v>75</v>
      </c>
      <c r="G28" s="36">
        <v>-58</v>
      </c>
      <c r="H28" s="17"/>
      <c r="I28" s="36">
        <f t="shared" si="2"/>
        <v>7730</v>
      </c>
      <c r="J28" s="31" t="s">
        <v>10</v>
      </c>
      <c r="K28" s="36">
        <f>I28/SUM($E$11:E28)</f>
        <v>77.3</v>
      </c>
    </row>
    <row r="29" spans="2:12" ht="16" x14ac:dyDescent="0.2">
      <c r="B29" s="39" t="s">
        <v>151</v>
      </c>
      <c r="C29" s="58" t="d">
        <v>2024-11-19</v>
      </c>
      <c r="D29" s="53"/>
      <c r="E29" s="17"/>
      <c r="F29" s="128">
        <v>75.099999999999994</v>
      </c>
      <c r="G29" s="36">
        <v>-18</v>
      </c>
      <c r="H29" s="17"/>
      <c r="I29" s="36">
        <f t="shared" si="2"/>
        <v>7712</v>
      </c>
      <c r="J29" s="31" t="s">
        <v>10</v>
      </c>
      <c r="K29" s="36">
        <f>I29/SUM($E$11:E29)</f>
        <v>77.12</v>
      </c>
      <c r="L29" s="31" t="s">
        <v>161</v>
      </c>
    </row>
    <row r="30" spans="2:12" ht="32" x14ac:dyDescent="0.2">
      <c r="B30" s="39" t="s">
        <v>629</v>
      </c>
      <c r="C30" s="58" t="d">
        <v>2024-11-25</v>
      </c>
      <c r="D30" s="53"/>
      <c r="E30" s="17"/>
      <c r="F30" s="128"/>
      <c r="G30" s="36">
        <v>116</v>
      </c>
      <c r="H30" s="17"/>
      <c r="I30" s="36">
        <f t="shared" si="2"/>
        <v>7828</v>
      </c>
      <c r="J30" s="31" t="s">
        <v>127</v>
      </c>
      <c r="K30" s="36">
        <f>I30/SUM($E$11:E30)</f>
        <v>78.28</v>
      </c>
    </row>
    <row r="31" spans="2:12" ht="16" x14ac:dyDescent="0.2">
      <c r="B31" s="39" t="s">
        <v>241</v>
      </c>
      <c r="C31" s="58" t="d">
        <v>2025-01-27</v>
      </c>
      <c r="D31" s="53"/>
      <c r="E31" s="17"/>
      <c r="F31" s="128"/>
      <c r="G31" s="36">
        <v>-52</v>
      </c>
      <c r="H31" s="17"/>
      <c r="I31" s="36">
        <f t="shared" si="2"/>
        <v>7776</v>
      </c>
      <c r="J31" s="31" t="s">
        <v>281</v>
      </c>
      <c r="K31" s="36">
        <f>I31/SUM($E$11:E31)</f>
        <v>77.760000000000005</v>
      </c>
      <c r="L31" s="31" t="s">
        <v>261</v>
      </c>
    </row>
    <row r="32" spans="2:12" ht="32" x14ac:dyDescent="0.2">
      <c r="B32" s="39" t="s">
        <v>294</v>
      </c>
      <c r="C32" s="58" t="d">
        <v>2025-02-06</v>
      </c>
      <c r="D32" s="53"/>
      <c r="E32" s="17"/>
      <c r="F32" s="128"/>
      <c r="G32" s="36">
        <v>1</v>
      </c>
      <c r="H32" s="17"/>
      <c r="I32" s="36">
        <f t="shared" si="2"/>
        <v>7777</v>
      </c>
      <c r="J32" s="31" t="s">
        <v>10</v>
      </c>
      <c r="K32" s="36">
        <f>I32/SUM($E$11:E32)</f>
        <v>77.77</v>
      </c>
    </row>
    <row r="33" spans="2:11" ht="16" x14ac:dyDescent="0.2">
      <c r="B33" s="39" t="s">
        <v>290</v>
      </c>
      <c r="C33" s="58" t="d">
        <v>2025-03-03</v>
      </c>
      <c r="D33" s="53"/>
      <c r="E33" s="17"/>
      <c r="F33" s="128"/>
      <c r="G33" s="36">
        <v>-100</v>
      </c>
      <c r="H33" s="17"/>
      <c r="I33" s="36">
        <f t="shared" si="2"/>
        <v>7677</v>
      </c>
      <c r="J33" s="31" t="s">
        <v>10</v>
      </c>
      <c r="K33" s="36">
        <f>I33/SUM($E$11:E33)</f>
        <v>76.77</v>
      </c>
    </row>
    <row r="34" spans="2:11" ht="16" x14ac:dyDescent="0.2">
      <c r="B34" s="39" t="s">
        <v>291</v>
      </c>
      <c r="C34" s="58" t="d">
        <v>2025-03-10</v>
      </c>
      <c r="D34" s="53"/>
      <c r="E34" s="17"/>
      <c r="F34" s="128"/>
      <c r="G34" s="36">
        <v>-23</v>
      </c>
      <c r="H34" s="17"/>
      <c r="I34" s="36">
        <f t="shared" si="2"/>
        <v>7654</v>
      </c>
      <c r="J34" s="31" t="s">
        <v>10</v>
      </c>
      <c r="K34" s="36">
        <f>I34/SUM($E$11:E34)</f>
        <v>76.540000000000006</v>
      </c>
    </row>
    <row r="35" spans="2:11" ht="16" x14ac:dyDescent="0.2">
      <c r="B35" s="39" t="s">
        <v>292</v>
      </c>
      <c r="C35" s="58" t="d">
        <v>2025-03-10</v>
      </c>
      <c r="D35" s="53"/>
      <c r="E35" s="17"/>
      <c r="F35" s="128"/>
      <c r="G35" s="36">
        <v>-24</v>
      </c>
      <c r="H35" s="17"/>
      <c r="I35" s="36">
        <f t="shared" si="2"/>
        <v>7630</v>
      </c>
      <c r="J35" s="31" t="s">
        <v>281</v>
      </c>
      <c r="K35" s="36">
        <f>I35/SUM($E$11:E35)</f>
        <v>76.3</v>
      </c>
    </row>
    <row r="36" spans="2:11" ht="32" x14ac:dyDescent="0.2">
      <c r="B36" s="39" t="s">
        <v>490</v>
      </c>
      <c r="C36" s="58" t="d">
        <v>2025-03-14</v>
      </c>
      <c r="D36" s="53"/>
      <c r="E36" s="17"/>
      <c r="F36" s="128"/>
      <c r="G36" s="36">
        <v>-105</v>
      </c>
      <c r="H36" s="17"/>
      <c r="I36" s="36">
        <f t="shared" si="2"/>
        <v>7525</v>
      </c>
      <c r="J36" s="31" t="s">
        <v>10</v>
      </c>
      <c r="K36" s="36">
        <f>I36/SUM($E$11:E36)</f>
        <v>75.25</v>
      </c>
    </row>
    <row r="37" spans="2:11" ht="16" x14ac:dyDescent="0.2">
      <c r="B37" s="39" t="s">
        <v>491</v>
      </c>
      <c r="C37" s="58" t="d">
        <v>2025-06-25</v>
      </c>
      <c r="D37" s="53"/>
      <c r="E37" s="17"/>
      <c r="F37" s="128"/>
      <c r="G37" s="36">
        <v>-22</v>
      </c>
      <c r="H37" s="17"/>
      <c r="I37" s="36">
        <f t="shared" si="2"/>
        <v>7503</v>
      </c>
      <c r="J37" s="31" t="s">
        <v>281</v>
      </c>
      <c r="K37" s="36">
        <f>I37/SUM($E$11:E37)</f>
        <v>75.03</v>
      </c>
    </row>
    <row r="38" spans="2:11" ht="32" x14ac:dyDescent="0.2">
      <c r="B38" s="39" t="s">
        <v>492</v>
      </c>
      <c r="C38" s="58" t="d">
        <v>2025-06-27</v>
      </c>
      <c r="D38" s="53"/>
      <c r="E38" s="17"/>
      <c r="F38" s="128"/>
      <c r="G38" s="36">
        <v>-18</v>
      </c>
      <c r="H38" s="17"/>
      <c r="I38" s="36">
        <f t="shared" si="2"/>
        <v>7485</v>
      </c>
      <c r="J38" s="31" t="s">
        <v>10</v>
      </c>
      <c r="K38" s="36">
        <f>I38/SUM($E$11:E38)</f>
        <v>74.849999999999994</v>
      </c>
    </row>
    <row r="39" spans="2:11" x14ac:dyDescent="0.2">
      <c r="B39" s="39"/>
      <c r="C39" s="58"/>
      <c r="D39" s="53"/>
      <c r="E39" s="17"/>
      <c r="F39" s="128"/>
      <c r="G39" s="36">
        <v>0</v>
      </c>
      <c r="H39" s="17"/>
      <c r="I39" s="36">
        <f t="shared" si="2"/>
        <v>7485</v>
      </c>
      <c r="J39" s="31"/>
      <c r="K39" s="36">
        <f>I39/SUM($E$11:E39)</f>
        <v>74.849999999999994</v>
      </c>
    </row>
    <row r="40" spans="2:11" x14ac:dyDescent="0.2">
      <c r="B40" s="39"/>
      <c r="C40" s="58"/>
      <c r="D40" s="16"/>
      <c r="E40" s="17"/>
      <c r="F40" s="128"/>
      <c r="G40" s="36">
        <v>0</v>
      </c>
      <c r="H40" s="17"/>
      <c r="I40" s="36">
        <f t="shared" si="2"/>
        <v>7485</v>
      </c>
      <c r="J40" s="31"/>
      <c r="K40" s="36">
        <f>I40/SUM($E$11:E40)</f>
        <v>74.849999999999994</v>
      </c>
    </row>
    <row r="41" spans="2:11" x14ac:dyDescent="0.2">
      <c r="B41" s="39"/>
      <c r="C41" s="58"/>
      <c r="D41" s="16"/>
      <c r="E41" s="17"/>
      <c r="F41" s="128"/>
      <c r="G41" s="36">
        <v>0</v>
      </c>
      <c r="H41" s="17"/>
      <c r="I41" s="36">
        <f t="shared" si="2"/>
        <v>7485</v>
      </c>
      <c r="J41" s="31"/>
      <c r="K41" s="36">
        <f>I41/SUM($E$11:E41)</f>
        <v>74.849999999999994</v>
      </c>
    </row>
    <row r="42" spans="2:11" x14ac:dyDescent="0.2">
      <c r="B42" s="39"/>
      <c r="C42" s="58"/>
      <c r="D42" s="16"/>
      <c r="E42" s="17"/>
      <c r="F42" s="128"/>
      <c r="G42" s="36">
        <v>0</v>
      </c>
      <c r="H42" s="17"/>
      <c r="I42" s="36">
        <f t="shared" si="2"/>
        <v>7485</v>
      </c>
      <c r="J42" s="31"/>
      <c r="K42" s="36">
        <f>I42/SUM($E$11:E42)</f>
        <v>74.849999999999994</v>
      </c>
    </row>
    <row r="43" spans="2:11" x14ac:dyDescent="0.2">
      <c r="B43" s="39"/>
      <c r="C43" s="58"/>
      <c r="D43" s="16"/>
      <c r="E43" s="17"/>
      <c r="F43" s="128"/>
      <c r="G43" s="36">
        <v>0</v>
      </c>
      <c r="H43" s="20"/>
      <c r="I43" s="36">
        <f>I32+G43</f>
        <v>7777</v>
      </c>
      <c r="J43" s="31"/>
      <c r="K43" s="36">
        <f>I43/SUM($E$11:E43)</f>
        <v>77.77</v>
      </c>
    </row>
    <row r="44" spans="2:11" x14ac:dyDescent="0.2">
      <c r="B44" s="39"/>
      <c r="C44" s="58"/>
      <c r="D44" s="16"/>
      <c r="E44" s="17"/>
      <c r="F44" s="128"/>
      <c r="G44" s="36">
        <v>0</v>
      </c>
      <c r="H44" s="20"/>
      <c r="I44" s="36">
        <f>I33+G44</f>
        <v>7677</v>
      </c>
      <c r="J44" s="31"/>
      <c r="K44" s="36">
        <f>I44/SUM($E$11:E44)</f>
        <v>76.77</v>
      </c>
    </row>
    <row r="45" spans="2:11" x14ac:dyDescent="0.2">
      <c r="B45" s="39"/>
      <c r="C45" s="58"/>
      <c r="D45" s="16"/>
      <c r="E45" s="17"/>
      <c r="F45" s="128"/>
      <c r="G45" s="36">
        <v>0</v>
      </c>
      <c r="H45" s="20"/>
      <c r="I45" s="36">
        <f>I34+G45</f>
        <v>7654</v>
      </c>
      <c r="J45" s="31"/>
      <c r="K45" s="36">
        <f>I45/SUM($E$11:E45)</f>
        <v>76.540000000000006</v>
      </c>
    </row>
    <row r="46" spans="2:11" x14ac:dyDescent="0.2">
      <c r="B46" s="39"/>
      <c r="C46" s="16"/>
      <c r="D46" s="16"/>
      <c r="E46" s="17"/>
      <c r="F46" s="128"/>
      <c r="G46" s="36">
        <v>0</v>
      </c>
      <c r="H46" s="20"/>
      <c r="I46" s="36">
        <f>I35+G46</f>
        <v>7630</v>
      </c>
      <c r="J46" s="31"/>
      <c r="K46" s="36">
        <f>I46/SUM($E$11:E46)</f>
        <v>76.3</v>
      </c>
    </row>
    <row r="47" spans="2:11" ht="19" x14ac:dyDescent="0.25">
      <c r="B47" s="68"/>
      <c r="C47" s="16"/>
      <c r="D47" s="16"/>
      <c r="E47" s="17"/>
      <c r="F47" s="128"/>
      <c r="G47" s="25">
        <f>SUM(G25:G46)</f>
        <v>-435</v>
      </c>
      <c r="H47" s="20"/>
      <c r="I47" s="19"/>
      <c r="J47" s="31"/>
      <c r="K47" s="22">
        <f>I47/3400</f>
        <v>0</v>
      </c>
    </row>
    <row r="48" spans="2:11" ht="4.75" customHeight="1" x14ac:dyDescent="0.2">
      <c r="B48" s="15"/>
      <c r="C48" s="17"/>
      <c r="D48" s="17"/>
      <c r="E48" s="17"/>
      <c r="F48" s="18"/>
      <c r="G48" s="19"/>
      <c r="H48" s="20"/>
      <c r="I48" s="20"/>
      <c r="J48" s="31"/>
      <c r="K48" s="17"/>
    </row>
    <row r="49" spans="2:11" ht="23" customHeight="1" x14ac:dyDescent="0.25">
      <c r="B49" s="15"/>
      <c r="C49" s="17"/>
      <c r="D49" s="17"/>
      <c r="E49" s="23">
        <f>SUM(E11:E47)</f>
        <v>100</v>
      </c>
      <c r="F49" s="24"/>
      <c r="H49" s="20"/>
      <c r="I49" s="20"/>
      <c r="J49" s="31"/>
      <c r="K49" s="17"/>
    </row>
  </sheetData>
  <mergeCells count="2">
    <mergeCell ref="B8:G8"/>
    <mergeCell ref="B3:C4"/>
  </mergeCells>
  <conditionalFormatting sqref="B25:B46">
    <cfRule type="expression" dxfId="221" priority="1" stopIfTrue="1">
      <formula>J25="ROLL"</formula>
    </cfRule>
    <cfRule type="expression" dxfId="220" priority="2" stopIfTrue="1">
      <formula>AND(ISNUMBER(SEARCH("call", B25)), J25="expired")</formula>
    </cfRule>
    <cfRule type="expression" dxfId="219" priority="3" stopIfTrue="1">
      <formula>AND(ISNUMBER(SEARCH("call", B25)), J25="assigned")</formula>
    </cfRule>
    <cfRule type="expression" dxfId="218" priority="4" stopIfTrue="1">
      <formula>J25="assigned"</formula>
    </cfRule>
    <cfRule type="expression" dxfId="217" priority="5">
      <formula>J25="expired"</formula>
    </cfRule>
  </conditionalFormatting>
  <pageMargins left="0.7" right="0.7" top="0.75" bottom="0.75" header="0.3" footer="0.3"/>
  <pageSetup paperSize="0" orientation="portrait" r:id="rId1"/>
</worksheet>
</file>

<file path=xl/worksheets/sheet3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D5DA-630B-294F-9C0B-1D3C68E8E428}">
  <sheetPr codeName="Sheet34"/>
  <dimension ref="B1:K49"/>
  <sheetViews>
    <sheetView zoomScale="130" zoomScaleNormal="130" workbookViewId="0">
      <selection activeCell="E14" sqref="E14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customWidth="1"/>
    <col min="4" max="4" width="12.83203125" customWidth="1"/>
    <col min="5" max="5" width="10.83203125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</cols>
  <sheetData>
    <row r="1" spans="2:11" ht="20" x14ac:dyDescent="0.2">
      <c r="B1" s="197" t="s">
        <v>105</v>
      </c>
      <c r="C1" s="197"/>
    </row>
    <row r="2" spans="2:11" x14ac:dyDescent="0.2">
      <c r="B2" s="1"/>
      <c r="C2" s="2"/>
      <c r="D2" s="2"/>
      <c r="E2" s="2"/>
      <c r="F2" s="3"/>
      <c r="G2" s="4"/>
    </row>
    <row r="3" spans="2:11" ht="19" x14ac:dyDescent="0.25">
      <c r="B3" s="5"/>
      <c r="C3" s="6"/>
      <c r="D3" s="6"/>
      <c r="E3" s="6"/>
      <c r="F3" s="7" t="s">
        <v>0</v>
      </c>
      <c r="G3" s="8" t="e">
        <f>IF(ISERROR(SUM(G22,G47)/G4),SUM(G22,G47),SUM(G22,G47)/G4)</f>
        <v>#VALUE!</v>
      </c>
      <c r="I3" t="s">
        <v>279</v>
      </c>
      <c r="J3" s="30">
        <v>76.75</v>
      </c>
      <c r="K3" s="6"/>
    </row>
    <row r="4" spans="2:11" x14ac:dyDescent="0.2">
      <c r="B4" s="1"/>
      <c r="C4" s="2"/>
      <c r="D4" s="2"/>
      <c r="E4" s="2"/>
      <c r="F4" s="3" t="s">
        <v>2</v>
      </c>
      <c r="G4" s="9">
        <f>E49</f>
        <v>200</v>
      </c>
    </row>
    <row r="5" spans="2:11" x14ac:dyDescent="0.2">
      <c r="C5" s="2"/>
      <c r="D5" s="2"/>
      <c r="E5" s="2"/>
      <c r="F5" s="3"/>
      <c r="G5" s="4"/>
    </row>
    <row r="6" spans="2:11" x14ac:dyDescent="0.2">
      <c r="B6" s="15"/>
      <c r="C6" s="17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15"/>
      <c r="C7" s="17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x14ac:dyDescent="0.2">
      <c r="B9" s="12" t="s">
        <v>11</v>
      </c>
      <c r="C9" s="11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12"/>
      <c r="C10" s="11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15" t="s">
        <v>23</v>
      </c>
      <c r="C11" s="58" t="d">
        <v>2024-11-26</v>
      </c>
      <c r="D11" s="53"/>
      <c r="E11" s="17">
        <v>100</v>
      </c>
      <c r="F11" s="21">
        <v>77.94</v>
      </c>
      <c r="G11" s="44">
        <f>E11*F11</f>
        <v>7794</v>
      </c>
      <c r="H11" s="20"/>
      <c r="I11" s="36">
        <f>G11</f>
        <v>7794</v>
      </c>
      <c r="J11" s="31"/>
      <c r="K11" s="36">
        <f>I11/E11</f>
        <v>77.94</v>
      </c>
    </row>
    <row r="12" spans="2:11" x14ac:dyDescent="0.2">
      <c r="B12" s="15" t="s">
        <v>24</v>
      </c>
      <c r="C12" s="58" t="d">
        <v>2025-01-02</v>
      </c>
      <c r="D12" s="53"/>
      <c r="E12" s="17"/>
      <c r="F12" s="21"/>
      <c r="G12" s="44">
        <v>-40</v>
      </c>
      <c r="H12" s="20"/>
      <c r="I12" s="36">
        <f>I11+G12</f>
        <v>7754</v>
      </c>
      <c r="J12" s="31"/>
      <c r="K12" s="36">
        <f>I12/SUM($E$11:E12)</f>
        <v>77.540000000000006</v>
      </c>
    </row>
    <row r="13" spans="2:11" x14ac:dyDescent="0.2">
      <c r="B13" s="15" t="s">
        <v>264</v>
      </c>
      <c r="C13" s="58" t="d">
        <v>2025-02-08</v>
      </c>
      <c r="D13" s="53"/>
      <c r="E13" s="17">
        <v>100</v>
      </c>
      <c r="F13" s="21">
        <v>70</v>
      </c>
      <c r="G13" s="44">
        <f t="shared" ref="G13:G21" si="0">E13*F13</f>
        <v>7000</v>
      </c>
      <c r="H13" s="20"/>
      <c r="I13" s="36">
        <f>I12+G13</f>
        <v>14754</v>
      </c>
      <c r="J13" s="31"/>
      <c r="K13" s="36">
        <f>I13/SUM($E$11:E13)</f>
        <v>73.77</v>
      </c>
    </row>
    <row r="14" spans="2:11" x14ac:dyDescent="0.2">
      <c r="B14" s="15" t="s">
        <v>126</v>
      </c>
      <c r="C14" s="58" t="d">
        <v>2024-11-01</v>
      </c>
      <c r="D14" s="53"/>
      <c r="E14" s="17" t="s">
        <v>527</v>
      </c>
      <c r="F14" s="21">
        <v>80</v>
      </c>
      <c r="G14" s="44" t="e">
        <f t="shared" si="0"/>
        <v>#VALUE!</v>
      </c>
      <c r="H14" s="20"/>
      <c r="I14" s="36" t="e">
        <f t="shared" ref="I14:I21" si="1">I13+G14</f>
        <v>#VALUE!</v>
      </c>
      <c r="J14" s="31"/>
      <c r="K14" s="36" t="e">
        <f>I14/SUM($E$11:E14)</f>
        <v>#VALUE!</v>
      </c>
    </row>
    <row r="15" spans="2:11" x14ac:dyDescent="0.2">
      <c r="B15" s="15" t="s">
        <v>24</v>
      </c>
      <c r="C15" s="58" t="d">
        <v>2025-01-02</v>
      </c>
      <c r="D15" s="53"/>
      <c r="E15" s="17"/>
      <c r="F15" s="21"/>
      <c r="G15" s="44">
        <f t="shared" si="0"/>
        <v>0</v>
      </c>
      <c r="H15" s="20"/>
      <c r="I15" s="36" t="e">
        <f t="shared" si="1"/>
        <v>#VALUE!</v>
      </c>
      <c r="J15" s="31"/>
      <c r="K15" s="36" t="e">
        <f>I15/SUM($E$11:E15)</f>
        <v>#VALUE!</v>
      </c>
    </row>
    <row r="16" spans="2:11" x14ac:dyDescent="0.2">
      <c r="B16" s="15"/>
      <c r="C16" s="58"/>
      <c r="D16" s="53"/>
      <c r="E16" s="17"/>
      <c r="F16" s="21"/>
      <c r="G16" s="44">
        <f t="shared" si="0"/>
        <v>0</v>
      </c>
      <c r="H16" s="20"/>
      <c r="I16" s="36" t="e">
        <f t="shared" si="1"/>
        <v>#VALUE!</v>
      </c>
      <c r="J16" s="31"/>
      <c r="K16" s="36" t="e">
        <f>I16/SUM($E$11:E16)</f>
        <v>#VALUE!</v>
      </c>
    </row>
    <row r="17" spans="2:11" x14ac:dyDescent="0.2">
      <c r="B17" s="15"/>
      <c r="C17" s="58"/>
      <c r="D17" s="53"/>
      <c r="E17" s="17"/>
      <c r="F17" s="21"/>
      <c r="G17" s="44">
        <f t="shared" si="0"/>
        <v>0</v>
      </c>
      <c r="H17" s="20"/>
      <c r="I17" s="36" t="e">
        <f t="shared" si="1"/>
        <v>#VALUE!</v>
      </c>
      <c r="J17" s="31"/>
      <c r="K17" s="36" t="e">
        <f>I17/SUM($E$11:E17)</f>
        <v>#VALUE!</v>
      </c>
    </row>
    <row r="18" spans="2:11" x14ac:dyDescent="0.2">
      <c r="B18" s="15"/>
      <c r="C18" s="58"/>
      <c r="D18" s="53"/>
      <c r="E18" s="17"/>
      <c r="F18" s="21"/>
      <c r="G18" s="44">
        <f t="shared" si="0"/>
        <v>0</v>
      </c>
      <c r="H18" s="20"/>
      <c r="I18" s="36" t="e">
        <f t="shared" si="1"/>
        <v>#VALUE!</v>
      </c>
      <c r="J18" s="31"/>
      <c r="K18" s="36" t="e">
        <f>I18/SUM($E$11:E18)</f>
        <v>#VALUE!</v>
      </c>
    </row>
    <row r="19" spans="2:11" x14ac:dyDescent="0.2">
      <c r="B19" s="15"/>
      <c r="C19" s="58"/>
      <c r="D19" s="53"/>
      <c r="E19" s="17"/>
      <c r="F19" s="21"/>
      <c r="G19" s="44">
        <f t="shared" si="0"/>
        <v>0</v>
      </c>
      <c r="H19" s="20"/>
      <c r="I19" s="36" t="e">
        <f t="shared" si="1"/>
        <v>#VALUE!</v>
      </c>
      <c r="J19" s="31"/>
      <c r="K19" s="36" t="e">
        <f>I19/SUM($E$11:E19)</f>
        <v>#VALUE!</v>
      </c>
    </row>
    <row r="20" spans="2:11" x14ac:dyDescent="0.2">
      <c r="B20" s="15"/>
      <c r="C20" s="58"/>
      <c r="D20" s="53"/>
      <c r="E20" s="17"/>
      <c r="F20" s="21"/>
      <c r="G20" s="44">
        <f t="shared" si="0"/>
        <v>0</v>
      </c>
      <c r="H20" s="20"/>
      <c r="I20" s="36" t="e">
        <f t="shared" si="1"/>
        <v>#VALUE!</v>
      </c>
      <c r="J20" s="31"/>
      <c r="K20" s="36" t="e">
        <f>I20/SUM($E$11:E20)</f>
        <v>#VALUE!</v>
      </c>
    </row>
    <row r="21" spans="2:11" x14ac:dyDescent="0.2">
      <c r="B21" s="15"/>
      <c r="C21" s="58"/>
      <c r="D21" s="53"/>
      <c r="E21" s="17"/>
      <c r="F21" s="21"/>
      <c r="G21" s="44">
        <f t="shared" si="0"/>
        <v>0</v>
      </c>
      <c r="H21" s="20"/>
      <c r="I21" s="36" t="e">
        <f t="shared" si="1"/>
        <v>#VALUE!</v>
      </c>
      <c r="J21" s="31"/>
      <c r="K21" s="36" t="e">
        <f>I21/SUM($E$11:E21)</f>
        <v>#VALUE!</v>
      </c>
    </row>
    <row r="22" spans="2:11" ht="19" x14ac:dyDescent="0.25">
      <c r="B22" s="15"/>
      <c r="C22" s="58"/>
      <c r="D22" s="53"/>
      <c r="E22" s="17"/>
      <c r="F22" s="18"/>
      <c r="G22" s="137" t="e">
        <f>SUM(G11:G21)</f>
        <v>#VALUE!</v>
      </c>
      <c r="H22" s="159"/>
      <c r="I22" s="160"/>
      <c r="J22" s="161"/>
      <c r="K22" s="137" t="e">
        <f>SUM(G11:G21)/SUM(E11:E21)</f>
        <v>#VALUE!</v>
      </c>
    </row>
    <row r="23" spans="2:11" ht="6" customHeight="1" x14ac:dyDescent="0.2">
      <c r="B23" s="15"/>
      <c r="C23" s="58"/>
      <c r="D23" s="53"/>
      <c r="E23" s="17"/>
      <c r="F23" s="18"/>
      <c r="G23" s="19"/>
      <c r="H23" s="20"/>
      <c r="I23" s="20"/>
      <c r="J23" s="31"/>
      <c r="K23" s="17"/>
    </row>
    <row r="24" spans="2:11" ht="6.5" customHeight="1" x14ac:dyDescent="0.2">
      <c r="B24" s="15"/>
      <c r="C24" s="58"/>
      <c r="D24" s="53"/>
      <c r="E24" s="17"/>
      <c r="F24" s="18"/>
      <c r="G24" s="19"/>
      <c r="H24" s="20"/>
      <c r="I24" s="20"/>
      <c r="J24" s="31"/>
      <c r="K24" s="17"/>
    </row>
    <row r="25" spans="2:11" ht="16" x14ac:dyDescent="0.2">
      <c r="B25" s="39" t="s">
        <v>162</v>
      </c>
      <c r="C25" s="58" t="d">
        <v>2024-11-26</v>
      </c>
      <c r="D25" s="53"/>
      <c r="E25" s="17"/>
      <c r="F25" s="128">
        <v>77.8</v>
      </c>
      <c r="G25" s="36">
        <v>-19</v>
      </c>
      <c r="H25" s="20"/>
      <c r="I25" s="36">
        <f>I13+G25</f>
        <v>14735</v>
      </c>
      <c r="J25" s="31" t="s">
        <v>10</v>
      </c>
      <c r="K25" s="36">
        <f>I25/SUM($E$11:E25)</f>
        <v>73.674999999999997</v>
      </c>
    </row>
    <row r="26" spans="2:11" ht="16" x14ac:dyDescent="0.2">
      <c r="B26" s="39" t="s">
        <v>163</v>
      </c>
      <c r="C26" s="58" t="d">
        <v>2024-11-26</v>
      </c>
      <c r="D26" s="53"/>
      <c r="E26" s="17"/>
      <c r="F26" s="128">
        <v>77.8</v>
      </c>
      <c r="G26" s="36">
        <v>-131</v>
      </c>
      <c r="H26" s="17"/>
      <c r="I26" s="36">
        <f>I25+G26</f>
        <v>14604</v>
      </c>
      <c r="J26" s="31" t="s">
        <v>10</v>
      </c>
      <c r="K26" s="36">
        <f>I26/SUM($E$11:E26)</f>
        <v>73.02</v>
      </c>
    </row>
    <row r="27" spans="2:11" ht="16" customHeight="1" x14ac:dyDescent="0.2">
      <c r="B27" s="39" t="s">
        <v>171</v>
      </c>
      <c r="C27" s="58" t="d">
        <v>2024-12-02</v>
      </c>
      <c r="D27" s="53"/>
      <c r="E27" s="17"/>
      <c r="F27" s="128">
        <v>79.040000000000006</v>
      </c>
      <c r="G27" s="36">
        <v>-61</v>
      </c>
      <c r="H27" s="17"/>
      <c r="I27" s="36">
        <f t="shared" ref="I27:I42" si="2">I26+G27</f>
        <v>14543</v>
      </c>
      <c r="J27" s="31" t="s">
        <v>10</v>
      </c>
      <c r="K27" s="36">
        <f>I27/SUM($E$11:E27)</f>
        <v>72.715000000000003</v>
      </c>
    </row>
    <row r="28" spans="2:11" ht="16" customHeight="1" x14ac:dyDescent="0.2">
      <c r="B28" s="39" t="s">
        <v>180</v>
      </c>
      <c r="C28" s="58" t="d">
        <v>2024-12-03</v>
      </c>
      <c r="D28" s="53"/>
      <c r="E28" s="17"/>
      <c r="F28" s="128">
        <v>78.8</v>
      </c>
      <c r="G28" s="36">
        <v>-93</v>
      </c>
      <c r="H28" s="17"/>
      <c r="I28" s="36">
        <f t="shared" si="2"/>
        <v>14450</v>
      </c>
      <c r="J28" s="31" t="s">
        <v>10</v>
      </c>
      <c r="K28" s="36">
        <f>I28/SUM($E$11:E28)</f>
        <v>72.25</v>
      </c>
    </row>
    <row r="29" spans="2:11" ht="16" x14ac:dyDescent="0.2">
      <c r="B29" s="39" t="s">
        <v>185</v>
      </c>
      <c r="C29" s="58" t="d">
        <v>2024-12-09</v>
      </c>
      <c r="D29" s="53"/>
      <c r="E29" s="17"/>
      <c r="F29" s="128">
        <v>77.72</v>
      </c>
      <c r="G29" s="36">
        <v>-47</v>
      </c>
      <c r="H29" s="17"/>
      <c r="I29" s="36">
        <f t="shared" si="2"/>
        <v>14403</v>
      </c>
      <c r="J29" s="31" t="s">
        <v>10</v>
      </c>
      <c r="K29" s="36">
        <f>I29/SUM($E$11:E29)</f>
        <v>72.015000000000001</v>
      </c>
    </row>
    <row r="30" spans="2:11" ht="16" x14ac:dyDescent="0.2">
      <c r="B30" s="39" t="s">
        <v>200</v>
      </c>
      <c r="C30" s="58" t="d">
        <v>2024-12-16</v>
      </c>
      <c r="D30" s="53"/>
      <c r="E30" s="17"/>
      <c r="F30" s="128"/>
      <c r="G30" s="36">
        <v>-28</v>
      </c>
      <c r="H30" s="17"/>
      <c r="I30" s="36">
        <f t="shared" si="2"/>
        <v>14375</v>
      </c>
      <c r="J30" s="31" t="s">
        <v>10</v>
      </c>
      <c r="K30" s="36">
        <f>I30/SUM($E$11:E30)</f>
        <v>71.875</v>
      </c>
    </row>
    <row r="31" spans="2:11" ht="16" x14ac:dyDescent="0.2">
      <c r="B31" s="39" t="s">
        <v>212</v>
      </c>
      <c r="C31" s="58" t="d">
        <v>2024-12-23</v>
      </c>
      <c r="D31" s="53"/>
      <c r="E31" s="17"/>
      <c r="F31" s="128">
        <v>76.819999999999993</v>
      </c>
      <c r="G31" s="36">
        <v>-25</v>
      </c>
      <c r="H31" s="17"/>
      <c r="I31" s="36">
        <f t="shared" si="2"/>
        <v>14350</v>
      </c>
      <c r="J31" s="31" t="s">
        <v>10</v>
      </c>
      <c r="K31" s="36">
        <f>I31/SUM($E$11:E31)</f>
        <v>71.75</v>
      </c>
    </row>
    <row r="32" spans="2:11" ht="16" x14ac:dyDescent="0.2">
      <c r="B32" s="39" t="s">
        <v>223</v>
      </c>
      <c r="C32" s="58" t="d">
        <v>2025-01-13</v>
      </c>
      <c r="D32" s="53"/>
      <c r="E32" s="17"/>
      <c r="F32" s="128"/>
      <c r="G32" s="36">
        <v>-17</v>
      </c>
      <c r="H32" s="17"/>
      <c r="I32" s="36">
        <f t="shared" si="2"/>
        <v>14333</v>
      </c>
      <c r="J32" s="31" t="s">
        <v>10</v>
      </c>
      <c r="K32" s="36">
        <f>I32/SUM($E$11:E32)</f>
        <v>71.665000000000006</v>
      </c>
    </row>
    <row r="33" spans="2:11" ht="16" x14ac:dyDescent="0.2">
      <c r="B33" s="39" t="s">
        <v>231</v>
      </c>
      <c r="C33" s="58" t="d">
        <v>2025-01-21</v>
      </c>
      <c r="D33" s="53"/>
      <c r="E33" s="17"/>
      <c r="F33" s="128"/>
      <c r="G33" s="36">
        <v>-39</v>
      </c>
      <c r="H33" s="17"/>
      <c r="I33" s="36">
        <f t="shared" si="2"/>
        <v>14294</v>
      </c>
      <c r="J33" s="31" t="s">
        <v>10</v>
      </c>
      <c r="K33" s="36">
        <f>I33/SUM($E$11:E33)</f>
        <v>71.47</v>
      </c>
    </row>
    <row r="34" spans="2:11" ht="16" x14ac:dyDescent="0.2">
      <c r="B34" s="39" t="s">
        <v>263</v>
      </c>
      <c r="C34" s="58" t="d">
        <v>2025-02-03</v>
      </c>
      <c r="D34" s="53"/>
      <c r="E34" s="17"/>
      <c r="F34" s="128"/>
      <c r="G34" s="36">
        <v>-16</v>
      </c>
      <c r="H34" s="17"/>
      <c r="I34" s="36">
        <f t="shared" si="2"/>
        <v>14278</v>
      </c>
      <c r="J34" s="31" t="s">
        <v>122</v>
      </c>
      <c r="K34" s="36">
        <f>I34/SUM($E$11:E34)</f>
        <v>71.39</v>
      </c>
    </row>
    <row r="35" spans="2:11" ht="16" x14ac:dyDescent="0.2">
      <c r="B35" s="39" t="s">
        <v>276</v>
      </c>
      <c r="C35" s="58" t="d">
        <v>2025-02-11</v>
      </c>
      <c r="D35" s="53"/>
      <c r="E35" s="17"/>
      <c r="F35" s="128"/>
      <c r="G35" s="36">
        <f>-17*2</f>
        <v>-34</v>
      </c>
      <c r="H35" s="17"/>
      <c r="I35" s="36">
        <f t="shared" si="2"/>
        <v>14244</v>
      </c>
      <c r="J35" s="31"/>
      <c r="K35" s="36">
        <f>I35/SUM($E$11:E35)</f>
        <v>71.22</v>
      </c>
    </row>
    <row r="36" spans="2:11" x14ac:dyDescent="0.2">
      <c r="B36" s="39"/>
      <c r="C36" s="58"/>
      <c r="D36" s="53"/>
      <c r="E36" s="17"/>
      <c r="F36" s="128"/>
      <c r="G36" s="36">
        <v>0</v>
      </c>
      <c r="H36" s="17"/>
      <c r="I36" s="36">
        <f t="shared" si="2"/>
        <v>14244</v>
      </c>
      <c r="J36" s="31"/>
      <c r="K36" s="36">
        <f>I36/SUM($E$11:E36)</f>
        <v>71.22</v>
      </c>
    </row>
    <row r="37" spans="2:11" x14ac:dyDescent="0.2">
      <c r="B37" s="39"/>
      <c r="C37" s="58"/>
      <c r="D37" s="53"/>
      <c r="E37" s="17"/>
      <c r="F37" s="128"/>
      <c r="G37" s="36">
        <v>0</v>
      </c>
      <c r="H37" s="17"/>
      <c r="I37" s="36">
        <f t="shared" si="2"/>
        <v>14244</v>
      </c>
      <c r="J37" s="31"/>
      <c r="K37" s="36">
        <f>I37/SUM($E$11:E37)</f>
        <v>71.22</v>
      </c>
    </row>
    <row r="38" spans="2:11" x14ac:dyDescent="0.2">
      <c r="B38" s="39"/>
      <c r="C38" s="58"/>
      <c r="D38" s="53"/>
      <c r="E38" s="17"/>
      <c r="F38" s="128"/>
      <c r="G38" s="36">
        <v>0</v>
      </c>
      <c r="H38" s="17"/>
      <c r="I38" s="36">
        <f t="shared" si="2"/>
        <v>14244</v>
      </c>
      <c r="J38" s="31"/>
      <c r="K38" s="36">
        <f>I38/SUM($E$11:E38)</f>
        <v>71.22</v>
      </c>
    </row>
    <row r="39" spans="2:11" x14ac:dyDescent="0.2">
      <c r="B39" s="39"/>
      <c r="C39" s="58"/>
      <c r="D39" s="53"/>
      <c r="E39" s="17"/>
      <c r="F39" s="128"/>
      <c r="G39" s="36">
        <v>0</v>
      </c>
      <c r="H39" s="17"/>
      <c r="I39" s="36">
        <f t="shared" si="2"/>
        <v>14244</v>
      </c>
      <c r="J39" s="31"/>
      <c r="K39" s="36">
        <f>I39/SUM($E$11:E39)</f>
        <v>71.22</v>
      </c>
    </row>
    <row r="40" spans="2:11" x14ac:dyDescent="0.2">
      <c r="B40" s="39"/>
      <c r="C40" s="58"/>
      <c r="D40" s="16"/>
      <c r="E40" s="17"/>
      <c r="F40" s="128"/>
      <c r="G40" s="36">
        <v>0</v>
      </c>
      <c r="H40" s="17"/>
      <c r="I40" s="36">
        <f t="shared" si="2"/>
        <v>14244</v>
      </c>
      <c r="J40" s="31"/>
      <c r="K40" s="36">
        <f>I40/SUM($E$11:E40)</f>
        <v>71.22</v>
      </c>
    </row>
    <row r="41" spans="2:11" x14ac:dyDescent="0.2">
      <c r="B41" s="39"/>
      <c r="C41" s="58"/>
      <c r="D41" s="16"/>
      <c r="E41" s="17"/>
      <c r="F41" s="128"/>
      <c r="G41" s="36">
        <v>0</v>
      </c>
      <c r="H41" s="17"/>
      <c r="I41" s="36">
        <f t="shared" si="2"/>
        <v>14244</v>
      </c>
      <c r="J41" s="31"/>
      <c r="K41" s="36">
        <f>I41/SUM($E$11:E41)</f>
        <v>71.22</v>
      </c>
    </row>
    <row r="42" spans="2:11" x14ac:dyDescent="0.2">
      <c r="B42" s="39"/>
      <c r="C42" s="58"/>
      <c r="D42" s="16"/>
      <c r="E42" s="17"/>
      <c r="F42" s="128"/>
      <c r="G42" s="36">
        <v>0</v>
      </c>
      <c r="H42" s="17"/>
      <c r="I42" s="36">
        <f t="shared" si="2"/>
        <v>14244</v>
      </c>
      <c r="J42" s="31"/>
      <c r="K42" s="36">
        <f>I42/SUM($E$11:E42)</f>
        <v>71.22</v>
      </c>
    </row>
    <row r="43" spans="2:11" x14ac:dyDescent="0.2">
      <c r="B43" s="39"/>
      <c r="C43" s="58"/>
      <c r="D43" s="16"/>
      <c r="E43" s="17"/>
      <c r="F43" s="128"/>
      <c r="G43" s="36">
        <v>0</v>
      </c>
      <c r="H43" s="20"/>
      <c r="I43" s="36">
        <f>I32+G43</f>
        <v>14333</v>
      </c>
      <c r="J43" s="31"/>
      <c r="K43" s="36">
        <f>I43/SUM($E$11:E43)</f>
        <v>71.665000000000006</v>
      </c>
    </row>
    <row r="44" spans="2:11" x14ac:dyDescent="0.2">
      <c r="B44" s="39"/>
      <c r="C44" s="58"/>
      <c r="D44" s="16"/>
      <c r="E44" s="17"/>
      <c r="F44" s="128"/>
      <c r="G44" s="36">
        <v>0</v>
      </c>
      <c r="H44" s="20"/>
      <c r="I44" s="36">
        <f>I33+G44</f>
        <v>14294</v>
      </c>
      <c r="J44" s="31"/>
      <c r="K44" s="36">
        <f>I44/SUM($E$11:E44)</f>
        <v>71.47</v>
      </c>
    </row>
    <row r="45" spans="2:11" x14ac:dyDescent="0.2">
      <c r="B45" s="39"/>
      <c r="C45" s="58"/>
      <c r="D45" s="16"/>
      <c r="E45" s="17"/>
      <c r="F45" s="128"/>
      <c r="G45" s="36">
        <v>0</v>
      </c>
      <c r="H45" s="20"/>
      <c r="I45" s="36">
        <f>I34+G45</f>
        <v>14278</v>
      </c>
      <c r="J45" s="31"/>
      <c r="K45" s="36">
        <f>I45/SUM($E$11:E45)</f>
        <v>71.39</v>
      </c>
    </row>
    <row r="46" spans="2:11" x14ac:dyDescent="0.2">
      <c r="B46" s="39"/>
      <c r="C46" s="16"/>
      <c r="D46" s="16"/>
      <c r="E46" s="17"/>
      <c r="F46" s="128"/>
      <c r="G46" s="36">
        <v>0</v>
      </c>
      <c r="H46" s="20"/>
      <c r="I46" s="36">
        <f>I35+G46</f>
        <v>14244</v>
      </c>
      <c r="J46" s="31"/>
      <c r="K46" s="36">
        <f>I46/SUM($E$11:E46)</f>
        <v>71.22</v>
      </c>
    </row>
    <row r="47" spans="2:11" ht="19" x14ac:dyDescent="0.25">
      <c r="B47" s="39"/>
      <c r="C47" s="16"/>
      <c r="D47" s="16"/>
      <c r="E47" s="17"/>
      <c r="F47" s="128"/>
      <c r="G47" s="137">
        <f>SUM(G25:G46)</f>
        <v>-510</v>
      </c>
      <c r="H47" s="159"/>
      <c r="I47" s="160"/>
      <c r="J47" s="161"/>
      <c r="K47" s="137">
        <f>I47/3400</f>
        <v>0</v>
      </c>
    </row>
    <row r="48" spans="2:11" ht="4.75" customHeight="1" x14ac:dyDescent="0.2">
      <c r="B48" s="15"/>
      <c r="C48" s="17"/>
      <c r="D48" s="17"/>
      <c r="E48" s="17"/>
      <c r="F48" s="18"/>
      <c r="G48" s="19"/>
      <c r="H48" s="20"/>
      <c r="I48" s="20"/>
      <c r="J48" s="31"/>
      <c r="K48" s="17"/>
    </row>
    <row r="49" spans="2:11" ht="23" customHeight="1" x14ac:dyDescent="0.25">
      <c r="B49" s="15"/>
      <c r="C49" s="17"/>
      <c r="D49" s="17"/>
      <c r="E49" s="23">
        <f>SUM(E11:E47)</f>
        <v>200</v>
      </c>
      <c r="F49" s="24"/>
      <c r="H49" s="20"/>
      <c r="I49" s="20"/>
      <c r="J49" s="31"/>
      <c r="K49" s="17"/>
    </row>
  </sheetData>
  <mergeCells count="2">
    <mergeCell ref="B1:C1"/>
    <mergeCell ref="B8:G8"/>
  </mergeCells>
  <conditionalFormatting sqref="B25:B47">
    <cfRule type="expression" dxfId="216" priority="1" stopIfTrue="1">
      <formula>J25="ROLL"</formula>
    </cfRule>
    <cfRule type="expression" dxfId="215" priority="2" stopIfTrue="1">
      <formula>AND(ISNUMBER(SEARCH("call", B25)), J25="expired")</formula>
    </cfRule>
    <cfRule type="expression" dxfId="214" priority="3" stopIfTrue="1">
      <formula>AND(ISNUMBER(SEARCH("call", B25)), J25="assigned")</formula>
    </cfRule>
    <cfRule type="expression" dxfId="213" priority="4" stopIfTrue="1">
      <formula>J25="assigned"</formula>
    </cfRule>
    <cfRule type="expression" dxfId="212" priority="5">
      <formula>J25="expired"</formula>
    </cfRule>
  </conditionalFormatting>
  <pageMargins left="0.7" right="0.7" top="0.75" bottom="0.75" header="0.3" footer="0.3"/>
  <pageSetup paperSize="0" orientation="portrait" r:id="rId1"/>
</worksheet>
</file>

<file path=xl/worksheets/sheet3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CBC7-3668-7B40-8C41-8E93641AA6C9}">
  <sheetPr codeName="Sheet12"/>
  <dimension ref="B1:K54"/>
  <sheetViews>
    <sheetView zoomScale="140" zoomScaleNormal="140" workbookViewId="0">
      <pane xSplit="1" ySplit="10" topLeftCell="B23" activePane="bottomRight" state="frozen"/>
      <selection activeCell="F3" sqref="F3"/>
      <selection pane="topRight" activeCell="F3" sqref="F3"/>
      <selection pane="bottomLeft" activeCell="F3" sqref="F3"/>
      <selection pane="bottomRight" activeCell="F13" sqref="F13"/>
    </sheetView>
  </sheetViews>
  <sheetFormatPr baseColWidth="10" defaultColWidth="8.83203125" defaultRowHeight="15" x14ac:dyDescent="0.2"/>
  <cols>
    <col min="1" max="1" width="6" customWidth="1"/>
    <col min="2" max="2" width="34.83203125" style="29" customWidth="1"/>
    <col min="3" max="3" width="16.33203125" style="61" customWidth="1"/>
    <col min="4" max="4" width="8.33203125" customWidth="1"/>
    <col min="5" max="5" width="10.83203125" customWidth="1"/>
    <col min="6" max="6" width="9.6640625" bestFit="1" customWidth="1"/>
    <col min="7" max="7" width="13.83203125" customWidth="1"/>
    <col min="8" max="8" width="3.5" customWidth="1"/>
    <col min="9" max="9" width="12.1640625" customWidth="1"/>
    <col min="10" max="10" width="19.1640625" style="29" customWidth="1"/>
    <col min="11" max="11" width="8.83203125" style="2"/>
  </cols>
  <sheetData>
    <row r="1" spans="2:11" ht="17" x14ac:dyDescent="0.2">
      <c r="B1" s="38" t="s">
        <v>22</v>
      </c>
    </row>
    <row r="2" spans="2:11" x14ac:dyDescent="0.2">
      <c r="B2" s="39"/>
      <c r="C2" s="62"/>
      <c r="D2" s="2"/>
      <c r="E2" s="2"/>
      <c r="F2" s="3"/>
      <c r="G2" s="4"/>
    </row>
    <row r="3" spans="2:11" ht="19" x14ac:dyDescent="0.25">
      <c r="B3" s="40"/>
      <c r="C3" s="63"/>
      <c r="D3" s="6"/>
      <c r="E3" s="6"/>
      <c r="F3" s="7" t="s">
        <v>0</v>
      </c>
      <c r="G3" s="30">
        <f>IF(ISERROR(SUM(G11:G117)/G4),SUM(G38:G117),SUM(G11:G117)/G4)</f>
        <v>-24.080074530000005</v>
      </c>
      <c r="H3" t="s">
        <v>1</v>
      </c>
      <c r="J3" s="30">
        <v>112</v>
      </c>
      <c r="K3" s="6"/>
    </row>
    <row r="4" spans="2:11" x14ac:dyDescent="0.2">
      <c r="B4" s="41"/>
      <c r="C4" s="62"/>
      <c r="D4" s="2"/>
      <c r="E4" s="2"/>
      <c r="F4" s="18" t="s">
        <v>2</v>
      </c>
      <c r="G4" s="9">
        <f>SUM(E11:E34)</f>
        <v>200</v>
      </c>
    </row>
    <row r="5" spans="2:11" x14ac:dyDescent="0.2">
      <c r="C5" s="62"/>
      <c r="D5" s="2"/>
      <c r="E5" s="2"/>
      <c r="F5" s="3"/>
      <c r="G5" s="4"/>
    </row>
    <row r="6" spans="2:11" x14ac:dyDescent="0.2">
      <c r="C6" s="64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39"/>
      <c r="C7" s="64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ht="16" x14ac:dyDescent="0.2">
      <c r="B9" s="42" t="s">
        <v>11</v>
      </c>
      <c r="C9" s="65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42"/>
      <c r="C10" s="65"/>
      <c r="D10" s="11"/>
      <c r="E10" s="11"/>
      <c r="F10" s="13"/>
      <c r="G10" s="14"/>
      <c r="H10" s="11"/>
      <c r="I10" s="11"/>
      <c r="J10" s="33"/>
      <c r="K10" s="11"/>
    </row>
    <row r="11" spans="2:11" ht="16" x14ac:dyDescent="0.2">
      <c r="B11" s="39" t="s">
        <v>23</v>
      </c>
      <c r="C11" s="64" t="d">
        <v>2021-05-28</v>
      </c>
      <c r="E11" s="17">
        <v>7</v>
      </c>
      <c r="F11" s="35">
        <v>620.54</v>
      </c>
      <c r="G11" s="36">
        <f>E11*F11</f>
        <v>4343.78</v>
      </c>
      <c r="H11" s="20"/>
      <c r="I11" s="36">
        <f>G11</f>
        <v>4343.78</v>
      </c>
      <c r="J11" s="31"/>
      <c r="K11" s="34">
        <f>IF(ISERROR(I11/$G$4),0,I11/SUM($E$11:E11))</f>
        <v>620.54</v>
      </c>
    </row>
    <row r="12" spans="2:11" ht="16" x14ac:dyDescent="0.2">
      <c r="B12" s="39" t="s">
        <v>24</v>
      </c>
      <c r="C12" s="64" t="d">
        <v>2021-07-01</v>
      </c>
      <c r="E12" s="17">
        <v>1E-3</v>
      </c>
      <c r="F12" s="35">
        <v>0</v>
      </c>
      <c r="G12" s="36">
        <f t="shared" ref="G12:G34" si="0">E12*F12</f>
        <v>0</v>
      </c>
      <c r="H12" s="20"/>
      <c r="I12" s="36">
        <f t="shared" ref="I12:I20" si="1">I11+G12</f>
        <v>4343.78</v>
      </c>
      <c r="J12" s="31"/>
      <c r="K12" s="34">
        <f>IF(ISERROR(I12/$G$4),0,I12/SUM($E$11:E12))</f>
        <v>620.45136409084409</v>
      </c>
    </row>
    <row r="13" spans="2:11" ht="16" x14ac:dyDescent="0.2">
      <c r="B13" s="39" t="s">
        <v>25</v>
      </c>
      <c r="C13" s="64" t="d">
        <v>2021-07-20</v>
      </c>
      <c r="E13" s="17">
        <v>21.003</v>
      </c>
      <c r="F13" s="35">
        <v>0</v>
      </c>
      <c r="G13" s="36">
        <f t="shared" si="0"/>
        <v>0</v>
      </c>
      <c r="H13" s="20"/>
      <c r="I13" s="36">
        <f t="shared" si="1"/>
        <v>4343.78</v>
      </c>
      <c r="J13" s="31"/>
      <c r="K13" s="34">
        <f>IF(ISERROR(I13/$G$4),0,I13/SUM($E$11:E13))</f>
        <v>155.11284102271102</v>
      </c>
    </row>
    <row r="14" spans="2:11" ht="16" x14ac:dyDescent="0.2">
      <c r="B14" s="39" t="s">
        <v>28</v>
      </c>
      <c r="C14" s="64" t="d">
        <v>2021-09-23</v>
      </c>
      <c r="E14" s="17">
        <v>5.0000000000000001E-3</v>
      </c>
      <c r="F14" s="35">
        <v>1.1100000000000001</v>
      </c>
      <c r="G14" s="36">
        <f t="shared" si="0"/>
        <v>5.5500000000000002E-3</v>
      </c>
      <c r="H14" s="20"/>
      <c r="I14" s="36">
        <f t="shared" si="1"/>
        <v>4343.7855499999996</v>
      </c>
      <c r="J14" s="31"/>
      <c r="K14" s="34">
        <f>IF(ISERROR(I14/$G$4),0,I14/SUM($E$11:E14))</f>
        <v>155.08534935199398</v>
      </c>
    </row>
    <row r="15" spans="2:11" ht="16" x14ac:dyDescent="0.2">
      <c r="B15" s="39" t="s">
        <v>29</v>
      </c>
      <c r="C15" s="64" t="d">
        <v>2021-12-23</v>
      </c>
      <c r="E15" s="17">
        <v>4.0000000000000001E-3</v>
      </c>
      <c r="F15" s="35">
        <v>1.19</v>
      </c>
      <c r="G15" s="36">
        <f t="shared" si="0"/>
        <v>4.7599999999999995E-3</v>
      </c>
      <c r="H15" s="20"/>
      <c r="I15" s="36">
        <f t="shared" si="1"/>
        <v>4343.7903099999994</v>
      </c>
      <c r="J15" s="31"/>
      <c r="K15" s="34">
        <f>IF(ISERROR(I15/$G$4),0,I15/SUM($E$11:E15))</f>
        <v>155.06337450469422</v>
      </c>
    </row>
    <row r="16" spans="2:11" ht="16" x14ac:dyDescent="0.2">
      <c r="B16" s="39" t="s">
        <v>30</v>
      </c>
      <c r="C16" s="64" t="d">
        <v>2022-03-24</v>
      </c>
      <c r="E16" s="17">
        <v>4.0000000000000001E-3</v>
      </c>
      <c r="F16" s="35">
        <v>1.08</v>
      </c>
      <c r="G16" s="36">
        <f t="shared" si="0"/>
        <v>4.3200000000000001E-3</v>
      </c>
      <c r="H16" s="20"/>
      <c r="I16" s="36">
        <f t="shared" si="1"/>
        <v>4343.7946299999994</v>
      </c>
      <c r="J16" s="31"/>
      <c r="K16" s="34">
        <f>IF(ISERROR(I16/$G$4),0,I16/SUM($E$11:E16))</f>
        <v>155.04139022736192</v>
      </c>
    </row>
    <row r="17" spans="2:11" ht="16" x14ac:dyDescent="0.2">
      <c r="B17" s="39" t="s">
        <v>31</v>
      </c>
      <c r="C17" s="64" t="d">
        <v>2022-07-01</v>
      </c>
      <c r="E17" s="17">
        <v>8.0000000000000002E-3</v>
      </c>
      <c r="F17" s="35">
        <v>1.17</v>
      </c>
      <c r="G17" s="36">
        <f t="shared" si="0"/>
        <v>9.3600000000000003E-3</v>
      </c>
      <c r="H17" s="20"/>
      <c r="I17" s="36">
        <f t="shared" si="1"/>
        <v>4343.8039899999994</v>
      </c>
      <c r="J17" s="31"/>
      <c r="K17" s="34">
        <f>IF(ISERROR(I17/$G$4),0,I17/SUM($E$11:E17))</f>
        <v>154.99746619090095</v>
      </c>
    </row>
    <row r="18" spans="2:11" ht="16" x14ac:dyDescent="0.2">
      <c r="B18" s="39" t="s">
        <v>32</v>
      </c>
      <c r="C18" s="64" t="d">
        <v>2022-09-29</v>
      </c>
      <c r="E18" s="17">
        <v>8.9999999999999993E-3</v>
      </c>
      <c r="F18" s="35">
        <v>1.1000000000000001</v>
      </c>
      <c r="G18" s="36">
        <f t="shared" si="0"/>
        <v>9.9000000000000008E-3</v>
      </c>
      <c r="H18" s="20"/>
      <c r="I18" s="36">
        <f t="shared" si="1"/>
        <v>4343.8138899999994</v>
      </c>
      <c r="J18" s="31"/>
      <c r="K18" s="34">
        <f>IF(ISERROR(I18/$G$4),0,I18/SUM($E$11:E18))</f>
        <v>154.94805914246982</v>
      </c>
    </row>
    <row r="19" spans="2:11" ht="16" x14ac:dyDescent="0.2">
      <c r="B19" s="39" t="s">
        <v>30</v>
      </c>
      <c r="C19" s="64" t="d">
        <v>2022-12-22</v>
      </c>
      <c r="E19" s="17">
        <v>7.0000000000000001E-3</v>
      </c>
      <c r="F19" s="35">
        <v>1.08</v>
      </c>
      <c r="G19" s="36">
        <f t="shared" si="0"/>
        <v>7.5600000000000007E-3</v>
      </c>
      <c r="H19" s="20"/>
      <c r="I19" s="36">
        <f t="shared" si="1"/>
        <v>4343.8214499999995</v>
      </c>
      <c r="J19" s="31"/>
      <c r="K19" s="34">
        <f>IF(ISERROR(I19/$G$4),0,I19/SUM($E$11:E19))</f>
        <v>154.90964837202662</v>
      </c>
    </row>
    <row r="20" spans="2:11" ht="16" x14ac:dyDescent="0.2">
      <c r="B20" s="39" t="s">
        <v>33</v>
      </c>
      <c r="C20" s="64" t="d">
        <v>2023-03-29</v>
      </c>
      <c r="E20" s="17">
        <v>4.0000000000000001E-3</v>
      </c>
      <c r="F20" s="35">
        <v>1.07</v>
      </c>
      <c r="G20" s="36">
        <f t="shared" si="0"/>
        <v>4.28E-3</v>
      </c>
      <c r="H20" s="20"/>
      <c r="I20" s="36">
        <f t="shared" si="1"/>
        <v>4343.8257299999996</v>
      </c>
      <c r="J20" s="31"/>
      <c r="K20" s="34">
        <f>IF(ISERROR(I20/$G$4),0,I20/SUM($E$11:E20))</f>
        <v>154.88770654305577</v>
      </c>
    </row>
    <row r="21" spans="2:11" ht="16" x14ac:dyDescent="0.2">
      <c r="B21" s="39" t="s">
        <v>28</v>
      </c>
      <c r="C21" s="64" t="d">
        <v>2023-07-03</v>
      </c>
      <c r="E21" s="17">
        <v>2.5999999999999999E-3</v>
      </c>
      <c r="F21" s="35">
        <v>1.1100000000000001</v>
      </c>
      <c r="G21" s="36">
        <f t="shared" si="0"/>
        <v>2.8860000000000001E-3</v>
      </c>
      <c r="H21" s="20"/>
      <c r="I21" s="36">
        <f t="shared" ref="I21:I34" si="2">I20+G21</f>
        <v>4343.8286159999998</v>
      </c>
      <c r="J21" s="31"/>
      <c r="K21" s="34">
        <f>IF(ISERROR(I21/$G$4),0,I21/SUM($E$11:E21))</f>
        <v>154.87345141830312</v>
      </c>
    </row>
    <row r="22" spans="2:11" ht="16" x14ac:dyDescent="0.2">
      <c r="B22" s="39" t="s">
        <v>32</v>
      </c>
      <c r="C22" s="64" t="d">
        <v>2023-09-29</v>
      </c>
      <c r="E22" s="17">
        <v>2.5000000000000001E-3</v>
      </c>
      <c r="F22" s="35">
        <v>1.1000000000000001</v>
      </c>
      <c r="G22" s="36">
        <f t="shared" si="0"/>
        <v>2.7500000000000003E-3</v>
      </c>
      <c r="H22" s="20"/>
      <c r="I22" s="36">
        <f t="shared" si="2"/>
        <v>4343.8313659999994</v>
      </c>
      <c r="J22" s="31"/>
      <c r="K22" s="34">
        <f>IF(ISERROR(I22/$G$4),0,I22/SUM($E$11:E22))</f>
        <v>154.85974616846281</v>
      </c>
    </row>
    <row r="23" spans="2:11" ht="16" x14ac:dyDescent="0.2">
      <c r="B23" s="39" t="s">
        <v>32</v>
      </c>
      <c r="C23" s="64" t="d">
        <v>2023-12-29</v>
      </c>
      <c r="E23" s="17">
        <v>2.2000000000000001E-3</v>
      </c>
      <c r="F23" s="35">
        <v>1.1000000000000001</v>
      </c>
      <c r="G23" s="36">
        <f t="shared" si="0"/>
        <v>2.4200000000000003E-3</v>
      </c>
      <c r="H23" s="20"/>
      <c r="I23" s="36">
        <f t="shared" si="2"/>
        <v>4343.8337859999992</v>
      </c>
      <c r="J23" s="31"/>
      <c r="K23" s="34">
        <f>IF(ISERROR(I23/$G$4),0,I23/SUM($E$11:E23))</f>
        <v>154.84768756929014</v>
      </c>
    </row>
    <row r="24" spans="2:11" ht="16" x14ac:dyDescent="0.2">
      <c r="B24" s="39" t="s">
        <v>34</v>
      </c>
      <c r="C24" s="64" t="d">
        <v>2024-03-28</v>
      </c>
      <c r="E24" s="17">
        <v>1.1999999999999999E-3</v>
      </c>
      <c r="F24" s="35">
        <v>1.0900000000000001</v>
      </c>
      <c r="G24" s="36">
        <f t="shared" si="0"/>
        <v>1.3079999999999999E-3</v>
      </c>
      <c r="H24" s="20"/>
      <c r="I24" s="36">
        <f t="shared" si="2"/>
        <v>4343.8350939999991</v>
      </c>
      <c r="J24" s="31"/>
      <c r="K24" s="34">
        <f>IF(ISERROR(I24/$G$4),0,I24/SUM($E$11:E24))</f>
        <v>154.84111052096878</v>
      </c>
    </row>
    <row r="25" spans="2:11" ht="16" x14ac:dyDescent="0.2">
      <c r="B25" s="39" t="s">
        <v>26</v>
      </c>
      <c r="C25" s="64" t="d">
        <v>2024-05-31</v>
      </c>
      <c r="E25" s="17">
        <v>-8.0534999999999997</v>
      </c>
      <c r="F25" s="35">
        <v>1100</v>
      </c>
      <c r="G25" s="36">
        <f>E25*F25</f>
        <v>-8858.85</v>
      </c>
      <c r="H25" s="20"/>
      <c r="I25" s="36">
        <f t="shared" si="2"/>
        <v>-4515.0149060000012</v>
      </c>
      <c r="J25" s="31"/>
      <c r="K25" s="34">
        <f>IF(ISERROR(I25/$G$4),0,I25/SUM($E$11:E25))</f>
        <v>-225.75074529999998</v>
      </c>
    </row>
    <row r="26" spans="2:11" ht="16" x14ac:dyDescent="0.2">
      <c r="B26" s="39" t="s">
        <v>27</v>
      </c>
      <c r="C26" s="64" t="d">
        <v>2024-06-07</v>
      </c>
      <c r="E26" s="17">
        <v>180</v>
      </c>
      <c r="F26" s="35">
        <v>0</v>
      </c>
      <c r="G26" s="36">
        <f t="shared" si="0"/>
        <v>0</v>
      </c>
      <c r="H26" s="20"/>
      <c r="I26" s="36">
        <f t="shared" si="2"/>
        <v>-4515.0149060000012</v>
      </c>
      <c r="J26" s="31"/>
      <c r="K26" s="34">
        <f>IF(ISERROR(I26/$G$4),0,I26/SUM($E$11:E26))</f>
        <v>-22.575074530000006</v>
      </c>
    </row>
    <row r="27" spans="2:11" x14ac:dyDescent="0.2">
      <c r="B27" s="39"/>
      <c r="C27" s="64"/>
      <c r="D27" s="16"/>
      <c r="E27" s="17"/>
      <c r="F27" s="35">
        <v>95</v>
      </c>
      <c r="G27" s="36">
        <f t="shared" si="0"/>
        <v>0</v>
      </c>
      <c r="H27" s="20"/>
      <c r="I27" s="36">
        <f t="shared" si="2"/>
        <v>-4515.0149060000012</v>
      </c>
      <c r="J27" s="31"/>
      <c r="K27" s="34">
        <f>IF(ISERROR(I27/$G$4),0,I27/SUM($E$11:E27))</f>
        <v>-22.575074530000006</v>
      </c>
    </row>
    <row r="28" spans="2:11" x14ac:dyDescent="0.2">
      <c r="B28" s="39"/>
      <c r="C28" s="64"/>
      <c r="D28" s="16"/>
      <c r="E28" s="17"/>
      <c r="F28" s="35"/>
      <c r="G28" s="36">
        <f t="shared" si="0"/>
        <v>0</v>
      </c>
      <c r="H28" s="20"/>
      <c r="I28" s="36">
        <f t="shared" si="2"/>
        <v>-4515.0149060000012</v>
      </c>
      <c r="J28" s="31"/>
      <c r="K28" s="34">
        <f>IF(ISERROR(I28/$G$4),0,I28/SUM($E$11:E28))</f>
        <v>-22.575074530000006</v>
      </c>
    </row>
    <row r="29" spans="2:11" x14ac:dyDescent="0.2">
      <c r="B29" s="39"/>
      <c r="C29" s="64"/>
      <c r="D29" s="16"/>
      <c r="E29" s="17"/>
      <c r="F29" s="35"/>
      <c r="G29" s="36">
        <f t="shared" si="0"/>
        <v>0</v>
      </c>
      <c r="H29" s="20"/>
      <c r="I29" s="36">
        <f t="shared" si="2"/>
        <v>-4515.0149060000012</v>
      </c>
      <c r="J29" s="31"/>
      <c r="K29" s="34">
        <f>IF(ISERROR(I29/$G$4),0,I29/SUM($E$11:E29))</f>
        <v>-22.575074530000006</v>
      </c>
    </row>
    <row r="30" spans="2:11" x14ac:dyDescent="0.2">
      <c r="B30" s="39"/>
      <c r="C30" s="64"/>
      <c r="D30" s="16"/>
      <c r="E30" s="17"/>
      <c r="F30" s="35"/>
      <c r="G30" s="36">
        <f t="shared" si="0"/>
        <v>0</v>
      </c>
      <c r="H30" s="20"/>
      <c r="I30" s="36">
        <f t="shared" si="2"/>
        <v>-4515.0149060000012</v>
      </c>
      <c r="J30" s="31"/>
      <c r="K30" s="34">
        <f>IF(ISERROR(I30/$G$4),0,I30/SUM($E$11:E30))</f>
        <v>-22.575074530000006</v>
      </c>
    </row>
    <row r="31" spans="2:11" x14ac:dyDescent="0.2">
      <c r="B31" s="39"/>
      <c r="C31" s="64"/>
      <c r="D31" s="16"/>
      <c r="E31" s="17"/>
      <c r="F31" s="35"/>
      <c r="G31" s="36">
        <f t="shared" si="0"/>
        <v>0</v>
      </c>
      <c r="H31" s="20"/>
      <c r="I31" s="36">
        <f t="shared" si="2"/>
        <v>-4515.0149060000012</v>
      </c>
      <c r="J31" s="31"/>
      <c r="K31" s="34">
        <f>IF(ISERROR(I31/$G$4),0,I31/SUM($E$11:E31))</f>
        <v>-22.575074530000006</v>
      </c>
    </row>
    <row r="32" spans="2:11" x14ac:dyDescent="0.2">
      <c r="B32" s="39"/>
      <c r="C32" s="64"/>
      <c r="D32" s="16"/>
      <c r="E32" s="17"/>
      <c r="F32" s="35"/>
      <c r="G32" s="36">
        <f t="shared" si="0"/>
        <v>0</v>
      </c>
      <c r="H32" s="20"/>
      <c r="I32" s="36">
        <f t="shared" si="2"/>
        <v>-4515.0149060000012</v>
      </c>
      <c r="J32" s="31"/>
      <c r="K32" s="34">
        <f>IF(ISERROR(I32/$G$4),0,I32/SUM($E$11:E32))</f>
        <v>-22.575074530000006</v>
      </c>
    </row>
    <row r="33" spans="2:11" x14ac:dyDescent="0.2">
      <c r="B33" s="39"/>
      <c r="C33" s="64"/>
      <c r="D33" s="16"/>
      <c r="E33" s="17"/>
      <c r="F33" s="35"/>
      <c r="G33" s="36">
        <f>E33*F33</f>
        <v>0</v>
      </c>
      <c r="H33" s="20"/>
      <c r="I33" s="36">
        <f t="shared" si="2"/>
        <v>-4515.0149060000012</v>
      </c>
      <c r="J33" s="31"/>
      <c r="K33" s="34">
        <f>IF(ISERROR(I33/$G$4),0,I33/SUM($E$11:E33))</f>
        <v>-22.575074530000006</v>
      </c>
    </row>
    <row r="34" spans="2:11" x14ac:dyDescent="0.2">
      <c r="B34" s="39"/>
      <c r="C34" s="64"/>
      <c r="D34" s="16"/>
      <c r="E34" s="17"/>
      <c r="F34" s="35"/>
      <c r="G34" s="36">
        <f t="shared" si="0"/>
        <v>0</v>
      </c>
      <c r="H34" s="20"/>
      <c r="I34" s="36">
        <f t="shared" si="2"/>
        <v>-4515.0149060000012</v>
      </c>
      <c r="J34" s="31"/>
      <c r="K34" s="34">
        <f>IF(ISERROR(I34/$G$4),0,I34/SUM($E$11:E34))</f>
        <v>-22.575074530000006</v>
      </c>
    </row>
    <row r="35" spans="2:11" x14ac:dyDescent="0.2">
      <c r="H35" s="20"/>
      <c r="I35" s="19"/>
      <c r="J35" s="31"/>
      <c r="K35" s="22">
        <f>SUM(G11:G34)/SUM(E11:E34)</f>
        <v>-22.575074530000006</v>
      </c>
    </row>
    <row r="36" spans="2:11" ht="6" customHeight="1" x14ac:dyDescent="0.2">
      <c r="B36" s="47"/>
      <c r="C36" s="66"/>
      <c r="D36" s="48"/>
      <c r="E36" s="48"/>
      <c r="F36" s="49"/>
      <c r="G36" s="50"/>
      <c r="H36" s="51"/>
      <c r="I36" s="51"/>
      <c r="J36" s="52"/>
      <c r="K36" s="48"/>
    </row>
    <row r="37" spans="2:11" ht="6.5" customHeight="1" x14ac:dyDescent="0.2">
      <c r="B37" s="47"/>
      <c r="C37" s="66"/>
      <c r="D37" s="48"/>
      <c r="E37" s="48"/>
      <c r="F37" s="49"/>
      <c r="G37" s="50"/>
      <c r="H37" s="51"/>
      <c r="I37" s="51"/>
      <c r="J37" s="52"/>
      <c r="K37" s="48"/>
    </row>
    <row r="38" spans="2:11" ht="16" x14ac:dyDescent="0.2">
      <c r="B38" s="39" t="s">
        <v>45</v>
      </c>
      <c r="C38" s="64" t="d">
        <v>2024-08-05</v>
      </c>
      <c r="D38" s="53"/>
      <c r="E38" s="54"/>
      <c r="F38" s="21">
        <v>101</v>
      </c>
      <c r="G38" s="36">
        <f>-22*3</f>
        <v>-66</v>
      </c>
      <c r="H38" s="20"/>
      <c r="I38" s="46">
        <f>I34+G38</f>
        <v>-4581.0149060000012</v>
      </c>
      <c r="J38" s="31" t="s">
        <v>10</v>
      </c>
      <c r="K38" s="37">
        <f>I38/$G$4</f>
        <v>-22.905074530000007</v>
      </c>
    </row>
    <row r="39" spans="2:11" ht="16" x14ac:dyDescent="0.2">
      <c r="B39" s="39" t="s">
        <v>54</v>
      </c>
      <c r="C39" s="64" t="d">
        <v>2024-08-28</v>
      </c>
      <c r="D39">
        <v>10</v>
      </c>
      <c r="F39" s="21">
        <v>128</v>
      </c>
      <c r="G39" s="36">
        <v>-62</v>
      </c>
      <c r="H39" s="20"/>
      <c r="I39" s="46">
        <f>I38+G39</f>
        <v>-4643.0149060000012</v>
      </c>
      <c r="J39" s="31" t="s">
        <v>10</v>
      </c>
      <c r="K39" s="37">
        <f t="shared" ref="K39:K47" si="3">I39/$G$4</f>
        <v>-23.215074530000006</v>
      </c>
    </row>
    <row r="40" spans="2:11" ht="16" x14ac:dyDescent="0.2">
      <c r="B40" s="39" t="s">
        <v>423</v>
      </c>
      <c r="C40" s="64" t="d">
        <v>2025-01-27</v>
      </c>
      <c r="D40" s="53"/>
      <c r="E40" s="54"/>
      <c r="F40" s="21"/>
      <c r="G40" s="36">
        <f>-58*2</f>
        <v>-116</v>
      </c>
      <c r="H40" s="20"/>
      <c r="I40" s="46">
        <f t="shared" ref="I40:I48" si="4">I39+G40</f>
        <v>-4759.0149060000012</v>
      </c>
      <c r="J40" s="31" t="s">
        <v>10</v>
      </c>
      <c r="K40" s="37">
        <f t="shared" si="3"/>
        <v>-23.795074530000008</v>
      </c>
    </row>
    <row r="41" spans="2:11" ht="16" x14ac:dyDescent="0.2">
      <c r="B41" s="39" t="s">
        <v>424</v>
      </c>
      <c r="C41" s="64" t="d">
        <v>2025-02-25</v>
      </c>
      <c r="D41" s="53"/>
      <c r="E41" s="54"/>
      <c r="F41" s="21"/>
      <c r="G41" s="36">
        <v>-57</v>
      </c>
      <c r="H41" s="20"/>
      <c r="I41" s="46">
        <f t="shared" si="4"/>
        <v>-4816.0149060000012</v>
      </c>
      <c r="J41" s="31"/>
      <c r="K41" s="37">
        <f t="shared" si="3"/>
        <v>-24.080074530000005</v>
      </c>
    </row>
    <row r="42" spans="2:11" x14ac:dyDescent="0.2">
      <c r="B42" s="39"/>
      <c r="C42" s="64"/>
      <c r="D42" s="53"/>
      <c r="E42" s="54"/>
      <c r="F42" s="21"/>
      <c r="G42" s="36"/>
      <c r="H42" s="20"/>
      <c r="I42" s="46">
        <f t="shared" si="4"/>
        <v>-4816.0149060000012</v>
      </c>
      <c r="J42" s="31"/>
      <c r="K42" s="37">
        <f t="shared" si="3"/>
        <v>-24.080074530000005</v>
      </c>
    </row>
    <row r="43" spans="2:11" x14ac:dyDescent="0.2">
      <c r="B43" s="39"/>
      <c r="C43" s="64"/>
      <c r="D43" s="53"/>
      <c r="E43" s="54"/>
      <c r="F43" s="21"/>
      <c r="G43" s="36"/>
      <c r="H43" s="20"/>
      <c r="I43" s="46">
        <f t="shared" si="4"/>
        <v>-4816.0149060000012</v>
      </c>
      <c r="J43" s="31"/>
      <c r="K43" s="37">
        <f t="shared" si="3"/>
        <v>-24.080074530000005</v>
      </c>
    </row>
    <row r="44" spans="2:11" x14ac:dyDescent="0.2">
      <c r="B44" s="39"/>
      <c r="C44" s="64"/>
      <c r="D44" s="53"/>
      <c r="E44" s="54"/>
      <c r="F44" s="21"/>
      <c r="G44" s="36"/>
      <c r="H44" s="20"/>
      <c r="I44" s="46">
        <f t="shared" si="4"/>
        <v>-4816.0149060000012</v>
      </c>
      <c r="J44" s="31"/>
      <c r="K44" s="37">
        <f t="shared" si="3"/>
        <v>-24.080074530000005</v>
      </c>
    </row>
    <row r="45" spans="2:11" x14ac:dyDescent="0.2">
      <c r="B45" s="39"/>
      <c r="C45" s="64"/>
      <c r="D45" s="53"/>
      <c r="E45" s="54"/>
      <c r="F45" s="21"/>
      <c r="G45" s="36"/>
      <c r="H45" s="20"/>
      <c r="I45" s="46">
        <f t="shared" si="4"/>
        <v>-4816.0149060000012</v>
      </c>
      <c r="J45" s="31"/>
      <c r="K45" s="37">
        <f t="shared" si="3"/>
        <v>-24.080074530000005</v>
      </c>
    </row>
    <row r="46" spans="2:11" x14ac:dyDescent="0.2">
      <c r="B46" s="39"/>
      <c r="C46" s="64"/>
      <c r="D46" s="53"/>
      <c r="E46" s="54"/>
      <c r="F46" s="21"/>
      <c r="G46" s="36"/>
      <c r="H46" s="20"/>
      <c r="I46" s="46">
        <f t="shared" si="4"/>
        <v>-4816.0149060000012</v>
      </c>
      <c r="J46" s="31"/>
      <c r="K46" s="37">
        <f t="shared" si="3"/>
        <v>-24.080074530000005</v>
      </c>
    </row>
    <row r="47" spans="2:11" x14ac:dyDescent="0.2">
      <c r="B47" s="39"/>
      <c r="C47" s="64"/>
      <c r="D47" s="53"/>
      <c r="E47" s="54"/>
      <c r="F47" s="21"/>
      <c r="G47" s="36"/>
      <c r="H47" s="20"/>
      <c r="I47" s="46">
        <f t="shared" si="4"/>
        <v>-4816.0149060000012</v>
      </c>
      <c r="J47" s="31"/>
      <c r="K47" s="37">
        <f t="shared" si="3"/>
        <v>-24.080074530000005</v>
      </c>
    </row>
    <row r="48" spans="2:11" x14ac:dyDescent="0.2">
      <c r="B48" s="39"/>
      <c r="C48" s="64"/>
      <c r="D48" s="53"/>
      <c r="E48" s="17"/>
      <c r="F48" s="21"/>
      <c r="G48" s="36"/>
      <c r="H48" s="20"/>
      <c r="I48" s="46">
        <f t="shared" si="4"/>
        <v>-4816.0149060000012</v>
      </c>
      <c r="J48" s="31"/>
      <c r="K48" s="37">
        <f>I48/$G$4</f>
        <v>-24.080074530000005</v>
      </c>
    </row>
    <row r="49" spans="2:11" ht="4.75" customHeight="1" x14ac:dyDescent="0.2">
      <c r="B49" s="39"/>
      <c r="C49" s="64"/>
      <c r="D49" s="53"/>
      <c r="E49" s="17"/>
      <c r="F49" s="18"/>
      <c r="G49" s="19"/>
      <c r="H49" s="20"/>
      <c r="I49" s="20"/>
      <c r="J49" s="31"/>
      <c r="K49" s="17"/>
    </row>
    <row r="50" spans="2:11" ht="14.5" customHeight="1" x14ac:dyDescent="0.25">
      <c r="B50" s="39"/>
      <c r="C50" s="64"/>
      <c r="D50" s="53"/>
      <c r="E50" s="23"/>
      <c r="F50" s="24"/>
      <c r="G50" s="25"/>
      <c r="H50" s="20"/>
      <c r="I50" s="20"/>
      <c r="J50" s="31"/>
      <c r="K50" s="17"/>
    </row>
    <row r="51" spans="2:11" x14ac:dyDescent="0.2">
      <c r="D51" s="45"/>
    </row>
    <row r="52" spans="2:11" x14ac:dyDescent="0.2">
      <c r="D52" s="45"/>
    </row>
    <row r="53" spans="2:11" x14ac:dyDescent="0.2">
      <c r="D53" s="45"/>
    </row>
    <row r="54" spans="2:11" x14ac:dyDescent="0.2">
      <c r="D54" s="45"/>
    </row>
  </sheetData>
  <mergeCells count="1">
    <mergeCell ref="B8:G8"/>
  </mergeCells>
  <conditionalFormatting sqref="B38:B48">
    <cfRule type="expression" dxfId="211" priority="1">
      <formula>AND(ISNUMBER(SEARCH("call", B38)), J38="expired")</formula>
    </cfRule>
    <cfRule type="expression" dxfId="210" priority="2">
      <formula>AND(ISNUMBER(SEARCH("call", B38)), J38="assigned")</formula>
    </cfRule>
    <cfRule type="expression" dxfId="209" priority="3">
      <formula>J38="assigned"</formula>
    </cfRule>
    <cfRule type="expression" dxfId="208" priority="4">
      <formula>J38="expired"</formula>
    </cfRule>
  </conditionalFormatting>
  <pageMargins left="0.7" right="0.7" top="0.75" bottom="0.75" header="0.3" footer="0.3"/>
  <pageSetup paperSize="0" orientation="portrait" r:id="rId1"/>
</worksheet>
</file>

<file path=xl/worksheets/sheet3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B80F-6C19-9E4C-B676-F005646CF63E}">
  <sheetPr codeName="Sheet63"/>
  <dimension ref="B1:O79"/>
  <sheetViews>
    <sheetView topLeftCell="A8" zoomScale="120" zoomScaleNormal="120" workbookViewId="0">
      <selection activeCell="G44" sqref="G44"/>
    </sheetView>
  </sheetViews>
  <sheetFormatPr baseColWidth="10" defaultColWidth="8.83203125" defaultRowHeight="15" x14ac:dyDescent="0.2"/>
  <cols>
    <col min="1" max="1" width="6" customWidth="1"/>
    <col min="2" max="2" width="37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10.33203125" customWidth="1"/>
    <col min="9" max="9" width="3.5" customWidth="1"/>
    <col min="10" max="10" width="11.83203125" customWidth="1"/>
    <col min="11" max="11" width="19" style="29" customWidth="1"/>
    <col min="12" max="12" width="11" style="2" bestFit="1" customWidth="1"/>
    <col min="15" max="15" width="12.6640625" bestFit="1" customWidth="1"/>
  </cols>
  <sheetData>
    <row r="1" spans="2:15" ht="29" customHeight="1" x14ac:dyDescent="0.2">
      <c r="B1" s="197" t="s">
        <v>318</v>
      </c>
      <c r="C1" s="197"/>
    </row>
    <row r="2" spans="2:15" x14ac:dyDescent="0.2">
      <c r="B2" s="1" t="s">
        <v>587</v>
      </c>
      <c r="C2" s="56"/>
      <c r="D2" s="2"/>
      <c r="F2" s="3"/>
      <c r="G2" s="4"/>
      <c r="H2" s="4"/>
    </row>
    <row r="3" spans="2:15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122.47</v>
      </c>
      <c r="H3" s="8"/>
      <c r="J3" t="s">
        <v>279</v>
      </c>
      <c r="K3" s="30">
        <v>28.99</v>
      </c>
      <c r="L3" s="6"/>
    </row>
    <row r="4" spans="2:15" x14ac:dyDescent="0.2">
      <c r="B4" s="1"/>
      <c r="C4" s="56"/>
      <c r="D4" s="2"/>
      <c r="F4" s="3" t="s">
        <v>2</v>
      </c>
      <c r="G4" s="9">
        <f>SUM(E11:E37)</f>
        <v>100</v>
      </c>
      <c r="H4" s="9"/>
    </row>
    <row r="5" spans="2:15" x14ac:dyDescent="0.2">
      <c r="C5" s="56"/>
      <c r="D5" s="2"/>
      <c r="F5" s="3"/>
      <c r="G5" s="4"/>
      <c r="H5" s="4"/>
    </row>
    <row r="6" spans="2:15" x14ac:dyDescent="0.2">
      <c r="B6" s="15"/>
      <c r="C6" s="58"/>
      <c r="D6" s="17"/>
      <c r="E6" s="155"/>
      <c r="F6" s="18"/>
      <c r="G6" s="19"/>
      <c r="H6" s="19"/>
      <c r="I6" s="20"/>
      <c r="J6" s="20"/>
      <c r="K6" s="31"/>
      <c r="L6" s="17"/>
    </row>
    <row r="7" spans="2:15" ht="6" customHeight="1" x14ac:dyDescent="0.2">
      <c r="B7" s="15"/>
      <c r="C7" s="58"/>
      <c r="D7" s="17"/>
      <c r="E7" s="155"/>
      <c r="F7" s="18"/>
      <c r="G7" s="19"/>
      <c r="H7" s="19"/>
      <c r="I7" s="20"/>
      <c r="J7" s="20"/>
      <c r="K7" s="31"/>
      <c r="L7" s="17"/>
    </row>
    <row r="8" spans="2:15" s="26" customFormat="1" ht="12" x14ac:dyDescent="0.15">
      <c r="B8" s="198" t="s">
        <v>3</v>
      </c>
      <c r="C8" s="198"/>
      <c r="D8" s="198"/>
      <c r="E8" s="198"/>
      <c r="F8" s="198"/>
      <c r="G8" s="198"/>
      <c r="H8" s="166"/>
      <c r="I8" s="27"/>
      <c r="J8" s="28"/>
      <c r="K8" s="32"/>
      <c r="L8" s="28"/>
    </row>
    <row r="9" spans="2:15" s="153" customFormat="1" ht="32" x14ac:dyDescent="0.2">
      <c r="B9" s="156" t="s">
        <v>11</v>
      </c>
      <c r="C9" s="173" t="s">
        <v>6</v>
      </c>
      <c r="D9" s="156" t="s">
        <v>39</v>
      </c>
      <c r="E9" s="156" t="s">
        <v>2</v>
      </c>
      <c r="F9" s="174" t="s">
        <v>7</v>
      </c>
      <c r="G9" s="175" t="s">
        <v>8</v>
      </c>
      <c r="H9" s="176" t="s">
        <v>583</v>
      </c>
      <c r="I9" s="156"/>
      <c r="J9" s="156" t="s">
        <v>4</v>
      </c>
      <c r="K9" s="177"/>
      <c r="L9" s="156" t="s">
        <v>5</v>
      </c>
    </row>
    <row r="10" spans="2:15" ht="5.5" customHeight="1" x14ac:dyDescent="0.2">
      <c r="B10" s="12"/>
      <c r="C10" s="59"/>
      <c r="D10" s="11"/>
      <c r="E10" s="156"/>
      <c r="F10" s="13"/>
      <c r="G10" s="14"/>
      <c r="H10" s="14"/>
      <c r="I10" s="11"/>
      <c r="J10" s="11"/>
      <c r="K10" s="33"/>
      <c r="L10" s="11"/>
    </row>
    <row r="11" spans="2:15" x14ac:dyDescent="0.2">
      <c r="B11" s="15" t="s">
        <v>676</v>
      </c>
      <c r="C11" s="58" t="d">
        <v>2025-10-17</v>
      </c>
      <c r="D11" s="16"/>
      <c r="E11" s="157">
        <v>100</v>
      </c>
      <c r="F11" s="21">
        <v>140</v>
      </c>
      <c r="G11" s="44">
        <f>E11*F11</f>
        <v>14000</v>
      </c>
      <c r="H11" s="44"/>
      <c r="I11" s="20"/>
      <c r="J11" s="36">
        <f>G11</f>
        <v>14000</v>
      </c>
      <c r="K11" s="31"/>
      <c r="L11" s="36">
        <f>J11/E11</f>
        <v>140</v>
      </c>
    </row>
    <row r="12" spans="2:15" x14ac:dyDescent="0.2">
      <c r="B12" s="15"/>
      <c r="C12" s="58"/>
      <c r="D12" s="16"/>
      <c r="E12" s="157"/>
      <c r="F12" s="21"/>
      <c r="G12" s="44">
        <f>E12*F12</f>
        <v>0</v>
      </c>
      <c r="H12" s="44"/>
      <c r="I12" s="20"/>
      <c r="J12" s="36">
        <f>J11+G12</f>
        <v>14000</v>
      </c>
      <c r="K12" s="31"/>
      <c r="L12" s="36">
        <f>J12/SUM($E$11:E12)</f>
        <v>140</v>
      </c>
      <c r="O12" s="144" t="s">
        <v>268</v>
      </c>
    </row>
    <row r="13" spans="2:15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44"/>
      <c r="I13" s="20"/>
      <c r="J13" s="36">
        <f>J12+G13</f>
        <v>14000</v>
      </c>
      <c r="K13" s="31"/>
      <c r="L13" s="36">
        <f>J13/SUM($E$11:E13)</f>
        <v>140</v>
      </c>
      <c r="O13" s="143" t="s">
        <v>269</v>
      </c>
    </row>
    <row r="14" spans="2:15" x14ac:dyDescent="0.2">
      <c r="B14" s="15"/>
      <c r="C14" s="58"/>
      <c r="D14" s="16"/>
      <c r="E14" s="157"/>
      <c r="F14" s="21"/>
      <c r="G14" s="44">
        <f t="shared" si="0"/>
        <v>0</v>
      </c>
      <c r="H14" s="44"/>
      <c r="I14" s="20"/>
      <c r="J14" s="36">
        <f t="shared" ref="J14:J37" si="1">J13+G14</f>
        <v>14000</v>
      </c>
      <c r="K14" s="31"/>
      <c r="L14" s="36">
        <f>J14/SUM($E$11:E14)</f>
        <v>140</v>
      </c>
      <c r="O14" s="145" t="s">
        <v>270</v>
      </c>
    </row>
    <row r="15" spans="2:15" x14ac:dyDescent="0.2">
      <c r="B15" s="15"/>
      <c r="C15" s="58"/>
      <c r="D15" s="16"/>
      <c r="E15" s="157"/>
      <c r="F15" s="21"/>
      <c r="G15" s="44">
        <f t="shared" si="0"/>
        <v>0</v>
      </c>
      <c r="H15" s="44"/>
      <c r="I15" s="20"/>
      <c r="J15" s="36">
        <f t="shared" si="1"/>
        <v>14000</v>
      </c>
      <c r="K15" s="31"/>
      <c r="L15" s="36">
        <f>J15/SUM($E$11:E15)</f>
        <v>140</v>
      </c>
      <c r="O15" s="146" t="s">
        <v>271</v>
      </c>
    </row>
    <row r="16" spans="2:15" x14ac:dyDescent="0.2">
      <c r="B16" s="15"/>
      <c r="C16" s="58"/>
      <c r="D16" s="16"/>
      <c r="E16" s="157"/>
      <c r="F16" s="21"/>
      <c r="G16" s="44">
        <f t="shared" si="0"/>
        <v>0</v>
      </c>
      <c r="H16" s="44"/>
      <c r="I16" s="20"/>
      <c r="J16" s="36">
        <f t="shared" si="1"/>
        <v>14000</v>
      </c>
      <c r="K16" s="31"/>
      <c r="L16" s="36">
        <f>J16/SUM($E$11:E16)</f>
        <v>140</v>
      </c>
      <c r="O16" s="147" t="s">
        <v>266</v>
      </c>
    </row>
    <row r="17" spans="2:15" x14ac:dyDescent="0.2">
      <c r="B17" s="15"/>
      <c r="C17" s="58"/>
      <c r="D17" s="16"/>
      <c r="E17" s="157"/>
      <c r="F17" s="21"/>
      <c r="G17" s="44">
        <f t="shared" si="0"/>
        <v>0</v>
      </c>
      <c r="H17" s="44"/>
      <c r="I17" s="20"/>
      <c r="J17" s="36">
        <f t="shared" si="1"/>
        <v>14000</v>
      </c>
      <c r="K17" s="31"/>
      <c r="L17" s="36">
        <f>J17/SUM($E$11:E17)</f>
        <v>140</v>
      </c>
      <c r="O17" s="164" t="s">
        <v>493</v>
      </c>
    </row>
    <row r="18" spans="2:15" x14ac:dyDescent="0.2">
      <c r="B18" s="15"/>
      <c r="C18" s="58"/>
      <c r="D18" s="16"/>
      <c r="E18" s="157"/>
      <c r="F18" s="21"/>
      <c r="G18" s="44">
        <f t="shared" si="0"/>
        <v>0</v>
      </c>
      <c r="H18" s="44"/>
      <c r="I18" s="20"/>
      <c r="J18" s="36">
        <f t="shared" si="1"/>
        <v>14000</v>
      </c>
      <c r="K18" s="31"/>
      <c r="L18" s="36">
        <f>J18/SUM($E$11:E18)</f>
        <v>140</v>
      </c>
      <c r="O18" s="172" t="s">
        <v>546</v>
      </c>
    </row>
    <row r="19" spans="2:15" x14ac:dyDescent="0.2">
      <c r="B19" s="15"/>
      <c r="C19" s="58"/>
      <c r="D19" s="16"/>
      <c r="E19" s="157"/>
      <c r="F19" s="21"/>
      <c r="G19" s="44">
        <f t="shared" si="0"/>
        <v>0</v>
      </c>
      <c r="H19" s="44"/>
      <c r="I19" s="20"/>
      <c r="J19" s="36">
        <f t="shared" si="1"/>
        <v>14000</v>
      </c>
      <c r="K19" s="31"/>
      <c r="L19" s="36">
        <f>J19/SUM($E$11:E19)</f>
        <v>140</v>
      </c>
    </row>
    <row r="20" spans="2:15" x14ac:dyDescent="0.2">
      <c r="B20" s="15"/>
      <c r="C20" s="58"/>
      <c r="D20" s="16"/>
      <c r="E20" s="157"/>
      <c r="F20" s="21"/>
      <c r="G20" s="44">
        <f t="shared" si="0"/>
        <v>0</v>
      </c>
      <c r="H20" s="44"/>
      <c r="I20" s="20"/>
      <c r="J20" s="36">
        <f t="shared" si="1"/>
        <v>14000</v>
      </c>
      <c r="K20" s="31"/>
      <c r="L20" s="36">
        <f>J20/SUM($E$11:E20)</f>
        <v>140</v>
      </c>
    </row>
    <row r="21" spans="2:15" x14ac:dyDescent="0.2">
      <c r="B21" s="15"/>
      <c r="C21" s="58"/>
      <c r="D21" s="16"/>
      <c r="E21" s="157"/>
      <c r="F21" s="21"/>
      <c r="G21" s="44">
        <f t="shared" si="0"/>
        <v>0</v>
      </c>
      <c r="H21" s="44"/>
      <c r="I21" s="20"/>
      <c r="J21" s="36">
        <f t="shared" si="1"/>
        <v>14000</v>
      </c>
      <c r="K21" s="31"/>
      <c r="L21" s="36">
        <f>J21/SUM($E$11:E21)</f>
        <v>140</v>
      </c>
    </row>
    <row r="22" spans="2:15" x14ac:dyDescent="0.2">
      <c r="B22" s="15"/>
      <c r="C22" s="58"/>
      <c r="D22" s="16"/>
      <c r="E22" s="157"/>
      <c r="F22" s="21"/>
      <c r="G22" s="44">
        <f t="shared" si="0"/>
        <v>0</v>
      </c>
      <c r="H22" s="44"/>
      <c r="I22" s="20"/>
      <c r="J22" s="36">
        <f t="shared" si="1"/>
        <v>14000</v>
      </c>
      <c r="K22" s="31"/>
      <c r="L22" s="36">
        <f>J22/SUM($E$11:E22)</f>
        <v>140</v>
      </c>
    </row>
    <row r="23" spans="2:15" x14ac:dyDescent="0.2">
      <c r="B23" s="15"/>
      <c r="C23" s="58"/>
      <c r="D23" s="16"/>
      <c r="E23" s="157"/>
      <c r="F23" s="21"/>
      <c r="G23" s="44">
        <f t="shared" si="0"/>
        <v>0</v>
      </c>
      <c r="H23" s="44"/>
      <c r="I23" s="20"/>
      <c r="J23" s="36">
        <f t="shared" si="1"/>
        <v>14000</v>
      </c>
      <c r="K23" s="31"/>
      <c r="L23" s="36">
        <f>J23/SUM($E$11:E23)</f>
        <v>140</v>
      </c>
    </row>
    <row r="24" spans="2:15" x14ac:dyDescent="0.2">
      <c r="B24" s="15"/>
      <c r="C24" s="58"/>
      <c r="D24" s="16"/>
      <c r="E24" s="157"/>
      <c r="F24" s="21"/>
      <c r="G24" s="44">
        <f t="shared" si="0"/>
        <v>0</v>
      </c>
      <c r="H24" s="44"/>
      <c r="I24" s="20"/>
      <c r="J24" s="36">
        <f t="shared" si="1"/>
        <v>14000</v>
      </c>
      <c r="K24" s="31"/>
      <c r="L24" s="36">
        <f>J24/SUM($E$11:E24)</f>
        <v>140</v>
      </c>
    </row>
    <row r="25" spans="2:15" x14ac:dyDescent="0.2">
      <c r="B25" s="15"/>
      <c r="C25" s="58"/>
      <c r="D25" s="16"/>
      <c r="E25" s="157"/>
      <c r="F25" s="21"/>
      <c r="G25" s="44">
        <f t="shared" si="0"/>
        <v>0</v>
      </c>
      <c r="H25" s="44"/>
      <c r="I25" s="20"/>
      <c r="J25" s="36">
        <f t="shared" si="1"/>
        <v>14000</v>
      </c>
      <c r="K25" s="31"/>
      <c r="L25" s="36">
        <f>J25/SUM($E$11:E25)</f>
        <v>140</v>
      </c>
    </row>
    <row r="26" spans="2:15" x14ac:dyDescent="0.2">
      <c r="B26" s="15"/>
      <c r="C26" s="58"/>
      <c r="D26" s="16"/>
      <c r="E26" s="157"/>
      <c r="F26" s="21"/>
      <c r="G26" s="44">
        <f t="shared" si="0"/>
        <v>0</v>
      </c>
      <c r="H26" s="44"/>
      <c r="I26" s="20"/>
      <c r="J26" s="36">
        <f t="shared" si="1"/>
        <v>14000</v>
      </c>
      <c r="K26" s="31"/>
      <c r="L26" s="36">
        <f>J26/SUM($E$11:E26)</f>
        <v>140</v>
      </c>
    </row>
    <row r="27" spans="2:15" x14ac:dyDescent="0.2">
      <c r="B27" s="15"/>
      <c r="C27" s="58"/>
      <c r="D27" s="16"/>
      <c r="E27" s="157"/>
      <c r="F27" s="21"/>
      <c r="G27" s="44">
        <f t="shared" si="0"/>
        <v>0</v>
      </c>
      <c r="H27" s="44"/>
      <c r="I27" s="20"/>
      <c r="J27" s="36">
        <f t="shared" si="1"/>
        <v>14000</v>
      </c>
      <c r="K27" s="31"/>
      <c r="L27" s="36">
        <f>J27/SUM($E$11:E27)</f>
        <v>140</v>
      </c>
    </row>
    <row r="28" spans="2:15" x14ac:dyDescent="0.2">
      <c r="B28" s="15"/>
      <c r="C28" s="58"/>
      <c r="D28" s="16"/>
      <c r="E28" s="157"/>
      <c r="F28" s="21"/>
      <c r="G28" s="44">
        <f t="shared" si="0"/>
        <v>0</v>
      </c>
      <c r="H28" s="44"/>
      <c r="I28" s="20"/>
      <c r="J28" s="36">
        <f t="shared" si="1"/>
        <v>14000</v>
      </c>
      <c r="K28" s="31"/>
      <c r="L28" s="36">
        <f>J28/SUM($E$11:E28)</f>
        <v>140</v>
      </c>
    </row>
    <row r="29" spans="2:15" x14ac:dyDescent="0.2">
      <c r="B29" s="15"/>
      <c r="C29" s="58"/>
      <c r="D29" s="16"/>
      <c r="E29" s="157"/>
      <c r="F29" s="21"/>
      <c r="G29" s="44">
        <f t="shared" si="0"/>
        <v>0</v>
      </c>
      <c r="H29" s="44"/>
      <c r="I29" s="20"/>
      <c r="J29" s="36">
        <f t="shared" si="1"/>
        <v>14000</v>
      </c>
      <c r="K29" s="31"/>
      <c r="L29" s="36">
        <f>J29/SUM($E$11:E29)</f>
        <v>140</v>
      </c>
    </row>
    <row r="30" spans="2:15" x14ac:dyDescent="0.2">
      <c r="B30" s="15"/>
      <c r="C30" s="58"/>
      <c r="D30" s="16"/>
      <c r="E30" s="157"/>
      <c r="F30" s="21"/>
      <c r="G30" s="44">
        <f t="shared" si="0"/>
        <v>0</v>
      </c>
      <c r="H30" s="44"/>
      <c r="I30" s="20"/>
      <c r="J30" s="36">
        <f t="shared" si="1"/>
        <v>14000</v>
      </c>
      <c r="K30" s="31"/>
      <c r="L30" s="36">
        <f>J30/SUM($E$11:E30)</f>
        <v>140</v>
      </c>
    </row>
    <row r="31" spans="2:15" x14ac:dyDescent="0.2">
      <c r="B31" s="15"/>
      <c r="C31" s="58"/>
      <c r="D31" s="16"/>
      <c r="E31" s="157"/>
      <c r="F31" s="21"/>
      <c r="G31" s="44">
        <f t="shared" si="0"/>
        <v>0</v>
      </c>
      <c r="H31" s="44"/>
      <c r="I31" s="20"/>
      <c r="J31" s="36">
        <f t="shared" si="1"/>
        <v>14000</v>
      </c>
      <c r="K31" s="31"/>
      <c r="L31" s="36">
        <f>J31/SUM($E$11:E31)</f>
        <v>140</v>
      </c>
    </row>
    <row r="32" spans="2:15" x14ac:dyDescent="0.2">
      <c r="B32" s="15"/>
      <c r="C32" s="58"/>
      <c r="D32" s="16"/>
      <c r="E32" s="157"/>
      <c r="F32" s="21"/>
      <c r="G32" s="44">
        <f t="shared" si="0"/>
        <v>0</v>
      </c>
      <c r="H32" s="44"/>
      <c r="I32" s="20"/>
      <c r="J32" s="36">
        <f t="shared" si="1"/>
        <v>14000</v>
      </c>
      <c r="K32" s="31"/>
      <c r="L32" s="36">
        <f>J32/SUM($E$11:E32)</f>
        <v>140</v>
      </c>
    </row>
    <row r="33" spans="2:12" x14ac:dyDescent="0.2">
      <c r="B33" s="15"/>
      <c r="C33" s="58"/>
      <c r="D33" s="16"/>
      <c r="E33" s="157"/>
      <c r="F33" s="21"/>
      <c r="G33" s="44">
        <f t="shared" si="0"/>
        <v>0</v>
      </c>
      <c r="H33" s="44"/>
      <c r="I33" s="20"/>
      <c r="J33" s="36">
        <f t="shared" si="1"/>
        <v>14000</v>
      </c>
      <c r="K33" s="31"/>
      <c r="L33" s="36">
        <f>J33/SUM($E$11:E33)</f>
        <v>140</v>
      </c>
    </row>
    <row r="34" spans="2:12" x14ac:dyDescent="0.2">
      <c r="B34" s="15"/>
      <c r="C34" s="58"/>
      <c r="D34" s="16"/>
      <c r="E34" s="157"/>
      <c r="F34" s="21"/>
      <c r="G34" s="44">
        <f t="shared" si="0"/>
        <v>0</v>
      </c>
      <c r="H34" s="44"/>
      <c r="I34" s="20"/>
      <c r="J34" s="36">
        <f t="shared" si="1"/>
        <v>14000</v>
      </c>
      <c r="K34" s="31"/>
      <c r="L34" s="36">
        <f>J34/SUM($E$11:E34)</f>
        <v>140</v>
      </c>
    </row>
    <row r="35" spans="2:12" x14ac:dyDescent="0.2">
      <c r="B35" s="15"/>
      <c r="C35" s="58"/>
      <c r="D35" s="16"/>
      <c r="E35" s="157"/>
      <c r="F35" s="21"/>
      <c r="G35" s="44">
        <f t="shared" si="0"/>
        <v>0</v>
      </c>
      <c r="H35" s="44"/>
      <c r="I35" s="20"/>
      <c r="J35" s="36">
        <f t="shared" si="1"/>
        <v>14000</v>
      </c>
      <c r="K35" s="31"/>
      <c r="L35" s="36">
        <f>J35/SUM($E$11:E35)</f>
        <v>140</v>
      </c>
    </row>
    <row r="36" spans="2:12" x14ac:dyDescent="0.2">
      <c r="B36" s="15"/>
      <c r="C36" s="58"/>
      <c r="D36" s="16"/>
      <c r="E36" s="157"/>
      <c r="F36" s="21"/>
      <c r="G36" s="44">
        <f t="shared" si="0"/>
        <v>0</v>
      </c>
      <c r="H36" s="44"/>
      <c r="I36" s="20"/>
      <c r="J36" s="36">
        <f>J19+G36</f>
        <v>14000</v>
      </c>
      <c r="K36" s="31"/>
      <c r="L36" s="36">
        <f>J36/SUM($E$11:E36)</f>
        <v>140</v>
      </c>
    </row>
    <row r="37" spans="2:12" x14ac:dyDescent="0.2">
      <c r="B37" s="15"/>
      <c r="C37" s="58"/>
      <c r="D37" s="16"/>
      <c r="E37" s="157"/>
      <c r="F37" s="21"/>
      <c r="G37" s="44">
        <f t="shared" si="0"/>
        <v>0</v>
      </c>
      <c r="H37" s="44"/>
      <c r="I37" s="20"/>
      <c r="J37" s="36">
        <f t="shared" si="1"/>
        <v>14000</v>
      </c>
      <c r="K37" s="31"/>
      <c r="L37" s="36">
        <f>J37/SUM($E$11:E37)</f>
        <v>140</v>
      </c>
    </row>
    <row r="38" spans="2:12" ht="19" x14ac:dyDescent="0.25">
      <c r="B38" s="15"/>
      <c r="C38" s="58"/>
      <c r="D38" s="16"/>
      <c r="E38" s="155"/>
      <c r="F38" s="18"/>
      <c r="G38" s="165">
        <f>SUM(G11:G37)</f>
        <v>14000</v>
      </c>
      <c r="H38" s="165"/>
      <c r="I38" s="20"/>
      <c r="J38" s="19"/>
      <c r="K38" s="31"/>
      <c r="L38" s="165">
        <f>SUM(G11:G37)/SUM(E11:E38)</f>
        <v>140</v>
      </c>
    </row>
    <row r="39" spans="2:12" ht="6" customHeight="1" x14ac:dyDescent="0.2">
      <c r="B39" s="15"/>
      <c r="C39" s="58"/>
      <c r="D39" s="17"/>
      <c r="E39" s="155"/>
      <c r="F39" s="18"/>
      <c r="G39" s="19"/>
      <c r="H39" s="19"/>
      <c r="I39" s="20"/>
      <c r="J39" s="20"/>
      <c r="K39" s="31"/>
      <c r="L39" s="17"/>
    </row>
    <row r="40" spans="2:12" ht="6.5" customHeight="1" x14ac:dyDescent="0.2">
      <c r="B40" s="15"/>
      <c r="C40" s="58"/>
      <c r="D40" s="17"/>
      <c r="E40" s="155"/>
      <c r="F40" s="18"/>
      <c r="G40" s="19"/>
      <c r="H40" s="19"/>
      <c r="I40" s="20"/>
      <c r="J40" s="20"/>
      <c r="K40" s="31"/>
      <c r="L40" s="17"/>
    </row>
    <row r="41" spans="2:12" ht="20" customHeight="1" x14ac:dyDescent="0.2">
      <c r="B41" s="39" t="s">
        <v>584</v>
      </c>
      <c r="C41" s="58" t="d">
        <v>2025-08-26</v>
      </c>
      <c r="D41" s="16"/>
      <c r="E41" s="155"/>
      <c r="F41" s="21"/>
      <c r="G41" s="36">
        <v>-190</v>
      </c>
      <c r="H41" s="36"/>
      <c r="I41" s="20"/>
      <c r="J41" s="36">
        <f>J13+G41</f>
        <v>13810</v>
      </c>
      <c r="K41" s="31" t="s">
        <v>281</v>
      </c>
      <c r="L41" s="36">
        <f>J41/SUM($E$11:E41)</f>
        <v>138.1</v>
      </c>
    </row>
    <row r="42" spans="2:12" ht="32" x14ac:dyDescent="0.2">
      <c r="B42" s="39" t="s">
        <v>585</v>
      </c>
      <c r="C42" s="58" t="d">
        <v>2025-09-18</v>
      </c>
      <c r="D42" s="16"/>
      <c r="E42" s="155"/>
      <c r="F42" s="21"/>
      <c r="G42" s="36">
        <v>-65</v>
      </c>
      <c r="H42" s="36"/>
      <c r="I42" s="17"/>
      <c r="J42" s="36">
        <f t="shared" ref="J42:J76" si="2">J41+G42</f>
        <v>13745</v>
      </c>
      <c r="K42" s="31" t="s">
        <v>122</v>
      </c>
      <c r="L42" s="36">
        <f>J42/SUM($E$11:E42)</f>
        <v>137.44999999999999</v>
      </c>
    </row>
    <row r="43" spans="2:12" ht="16" x14ac:dyDescent="0.2">
      <c r="B43" s="39" t="s">
        <v>586</v>
      </c>
      <c r="C43" s="58" t="d">
        <v>2025-10-01</v>
      </c>
      <c r="D43" s="16"/>
      <c r="E43" s="155"/>
      <c r="G43" s="36">
        <v>-175</v>
      </c>
      <c r="H43" s="36"/>
      <c r="I43" s="17"/>
      <c r="J43" s="36">
        <f t="shared" si="2"/>
        <v>13570</v>
      </c>
      <c r="K43" s="31" t="s">
        <v>10</v>
      </c>
      <c r="L43" s="36">
        <f>J43/SUM($E$11:E43)</f>
        <v>135.69999999999999</v>
      </c>
    </row>
    <row r="44" spans="2:12" ht="16" x14ac:dyDescent="0.2">
      <c r="B44" s="39" t="s">
        <v>686</v>
      </c>
      <c r="C44" s="58" t="d">
        <v>2025-10-21</v>
      </c>
      <c r="D44" s="16"/>
      <c r="E44" s="155"/>
      <c r="F44" s="18"/>
      <c r="G44" s="36">
        <f>-259*2</f>
        <v>-518</v>
      </c>
      <c r="H44" s="36"/>
      <c r="I44" s="17"/>
      <c r="J44" s="36">
        <f t="shared" si="2"/>
        <v>13052</v>
      </c>
      <c r="K44" s="31"/>
      <c r="L44" s="36">
        <f>J44/SUM($E$11:E44)</f>
        <v>130.52000000000001</v>
      </c>
    </row>
    <row r="45" spans="2:12" ht="16" x14ac:dyDescent="0.2">
      <c r="B45" s="39" t="s">
        <v>687</v>
      </c>
      <c r="C45" s="58" t="d">
        <v>2025-10-21</v>
      </c>
      <c r="D45" s="16"/>
      <c r="E45" s="155"/>
      <c r="F45" s="18"/>
      <c r="G45" s="36">
        <v>-805</v>
      </c>
      <c r="H45" s="36"/>
      <c r="I45" s="17"/>
      <c r="J45" s="36">
        <f t="shared" si="2"/>
        <v>12247</v>
      </c>
      <c r="K45" s="31"/>
      <c r="L45" s="36">
        <f>J45/SUM($E$11:E45)</f>
        <v>122.47</v>
      </c>
    </row>
    <row r="46" spans="2:12" x14ac:dyDescent="0.2">
      <c r="B46" s="39"/>
      <c r="C46" s="58"/>
      <c r="D46" s="16"/>
      <c r="E46" s="155"/>
      <c r="F46" s="18"/>
      <c r="G46" s="36">
        <v>0</v>
      </c>
      <c r="H46" s="36"/>
      <c r="I46" s="17"/>
      <c r="J46" s="36">
        <f t="shared" si="2"/>
        <v>12247</v>
      </c>
      <c r="K46" s="31"/>
      <c r="L46" s="36">
        <f>J46/SUM($E$11:E46)</f>
        <v>122.47</v>
      </c>
    </row>
    <row r="47" spans="2:12" x14ac:dyDescent="0.2">
      <c r="B47" s="39"/>
      <c r="C47" s="58"/>
      <c r="D47" s="16"/>
      <c r="E47" s="155"/>
      <c r="F47" s="18"/>
      <c r="G47" s="36">
        <v>0</v>
      </c>
      <c r="H47" s="36"/>
      <c r="I47" s="17"/>
      <c r="J47" s="36">
        <f t="shared" si="2"/>
        <v>12247</v>
      </c>
      <c r="K47" s="31"/>
      <c r="L47" s="36">
        <f>J47/SUM($E$11:E47)</f>
        <v>122.47</v>
      </c>
    </row>
    <row r="48" spans="2:12" x14ac:dyDescent="0.2">
      <c r="B48" s="39"/>
      <c r="C48" s="58"/>
      <c r="D48" s="16"/>
      <c r="E48" s="155"/>
      <c r="F48" s="18"/>
      <c r="G48" s="36">
        <v>0</v>
      </c>
      <c r="H48" s="36"/>
      <c r="I48" s="17"/>
      <c r="J48" s="36">
        <f t="shared" si="2"/>
        <v>12247</v>
      </c>
      <c r="K48" s="31"/>
      <c r="L48" s="36">
        <f>J48/SUM($E$11:E48)</f>
        <v>122.47</v>
      </c>
    </row>
    <row r="49" spans="2:12" x14ac:dyDescent="0.2">
      <c r="B49" s="39"/>
      <c r="C49" s="58"/>
      <c r="D49" s="16"/>
      <c r="E49" s="155"/>
      <c r="F49" s="18"/>
      <c r="G49" s="36">
        <v>0</v>
      </c>
      <c r="H49" s="36"/>
      <c r="I49" s="20"/>
      <c r="J49" s="36">
        <f t="shared" si="2"/>
        <v>12247</v>
      </c>
      <c r="K49" s="31"/>
      <c r="L49" s="36">
        <f>J49/SUM($E$11:E49)</f>
        <v>122.47</v>
      </c>
    </row>
    <row r="50" spans="2:12" ht="17" customHeight="1" x14ac:dyDescent="0.2">
      <c r="B50" s="39"/>
      <c r="C50" s="58"/>
      <c r="D50" s="16"/>
      <c r="E50" s="155"/>
      <c r="F50" s="18"/>
      <c r="G50" s="36">
        <v>0</v>
      </c>
      <c r="H50" s="36"/>
      <c r="I50" s="20"/>
      <c r="J50" s="36">
        <f t="shared" si="2"/>
        <v>12247</v>
      </c>
      <c r="K50" s="31"/>
      <c r="L50" s="36">
        <f>J50/SUM($E$11:E50)</f>
        <v>122.47</v>
      </c>
    </row>
    <row r="51" spans="2:12" x14ac:dyDescent="0.2">
      <c r="B51" s="39"/>
      <c r="C51" s="58"/>
      <c r="D51" s="16"/>
      <c r="E51" s="155"/>
      <c r="F51" s="18"/>
      <c r="G51" s="36">
        <v>0</v>
      </c>
      <c r="H51" s="36"/>
      <c r="I51" s="20"/>
      <c r="J51" s="36">
        <f t="shared" si="2"/>
        <v>12247</v>
      </c>
      <c r="K51" s="31"/>
      <c r="L51" s="36">
        <f>J51/SUM($E$11:E51)</f>
        <v>122.47</v>
      </c>
    </row>
    <row r="52" spans="2:12" x14ac:dyDescent="0.2">
      <c r="B52" s="39"/>
      <c r="C52" s="58"/>
      <c r="D52" s="16"/>
      <c r="E52" s="155"/>
      <c r="F52" s="18"/>
      <c r="G52" s="36">
        <v>0</v>
      </c>
      <c r="H52" s="36"/>
      <c r="I52" s="20"/>
      <c r="J52" s="36">
        <f t="shared" si="2"/>
        <v>12247</v>
      </c>
      <c r="K52" s="31"/>
      <c r="L52" s="36">
        <f>J52/SUM($E$11:E52)</f>
        <v>122.47</v>
      </c>
    </row>
    <row r="53" spans="2:12" x14ac:dyDescent="0.2">
      <c r="B53" s="39"/>
      <c r="C53" s="58"/>
      <c r="D53" s="16"/>
      <c r="E53" s="155"/>
      <c r="F53" s="18"/>
      <c r="G53" s="36">
        <v>0</v>
      </c>
      <c r="H53" s="36"/>
      <c r="I53" s="20"/>
      <c r="J53" s="36">
        <f t="shared" si="2"/>
        <v>12247</v>
      </c>
      <c r="K53" s="31"/>
      <c r="L53" s="36">
        <f>J53/SUM($E$11:E53)</f>
        <v>122.47</v>
      </c>
    </row>
    <row r="54" spans="2:12" x14ac:dyDescent="0.2">
      <c r="B54" s="39"/>
      <c r="C54" s="58"/>
      <c r="D54" s="16"/>
      <c r="E54" s="155"/>
      <c r="F54" s="18"/>
      <c r="G54" s="36">
        <v>0</v>
      </c>
      <c r="H54" s="36"/>
      <c r="I54" s="20"/>
      <c r="J54" s="36">
        <f t="shared" si="2"/>
        <v>12247</v>
      </c>
      <c r="K54" s="31"/>
      <c r="L54" s="36">
        <f>J54/SUM($E$11:E54)</f>
        <v>122.47</v>
      </c>
    </row>
    <row r="55" spans="2:12" x14ac:dyDescent="0.2">
      <c r="B55" s="39"/>
      <c r="C55" s="58"/>
      <c r="D55" s="16"/>
      <c r="E55" s="155"/>
      <c r="F55" s="18"/>
      <c r="G55" s="36">
        <v>0</v>
      </c>
      <c r="H55" s="36"/>
      <c r="I55" s="20"/>
      <c r="J55" s="36">
        <f t="shared" si="2"/>
        <v>12247</v>
      </c>
      <c r="K55" s="31"/>
      <c r="L55" s="36">
        <f>J55/SUM($E$11:E55)</f>
        <v>122.47</v>
      </c>
    </row>
    <row r="56" spans="2:12" ht="16" customHeight="1" x14ac:dyDescent="0.2">
      <c r="B56" s="39"/>
      <c r="C56" s="58"/>
      <c r="D56" s="16"/>
      <c r="E56" s="155"/>
      <c r="F56" s="18"/>
      <c r="G56" s="36">
        <v>0</v>
      </c>
      <c r="H56" s="36"/>
      <c r="I56" s="20"/>
      <c r="J56" s="36">
        <f t="shared" si="2"/>
        <v>12247</v>
      </c>
      <c r="K56" s="31"/>
      <c r="L56" s="36">
        <f>J56/SUM($E$11:E56)</f>
        <v>122.47</v>
      </c>
    </row>
    <row r="57" spans="2:12" ht="18" customHeight="1" x14ac:dyDescent="0.2">
      <c r="B57" s="39"/>
      <c r="C57" s="58"/>
      <c r="D57" s="16"/>
      <c r="E57" s="155"/>
      <c r="F57" s="18"/>
      <c r="G57" s="36">
        <v>0</v>
      </c>
      <c r="H57" s="36"/>
      <c r="I57" s="20"/>
      <c r="J57" s="36">
        <f t="shared" si="2"/>
        <v>12247</v>
      </c>
      <c r="K57" s="31"/>
      <c r="L57" s="36">
        <f>J57/SUM($E$11:E57)</f>
        <v>122.47</v>
      </c>
    </row>
    <row r="58" spans="2:12" x14ac:dyDescent="0.2">
      <c r="B58" s="39"/>
      <c r="C58" s="58"/>
      <c r="D58" s="16"/>
      <c r="E58" s="155"/>
      <c r="F58" s="18"/>
      <c r="G58" s="36">
        <v>0</v>
      </c>
      <c r="H58" s="36"/>
      <c r="I58" s="20"/>
      <c r="J58" s="36">
        <f t="shared" si="2"/>
        <v>12247</v>
      </c>
      <c r="K58" s="31"/>
      <c r="L58" s="36">
        <f>J58/SUM($E$11:E58)</f>
        <v>122.47</v>
      </c>
    </row>
    <row r="59" spans="2:12" x14ac:dyDescent="0.2">
      <c r="B59" s="39"/>
      <c r="C59" s="58"/>
      <c r="D59" s="16"/>
      <c r="E59" s="155"/>
      <c r="F59" s="18"/>
      <c r="G59" s="36">
        <v>0</v>
      </c>
      <c r="H59" s="36"/>
      <c r="I59" s="20"/>
      <c r="J59" s="36">
        <f t="shared" si="2"/>
        <v>12247</v>
      </c>
      <c r="K59" s="31"/>
      <c r="L59" s="36">
        <f>J59/SUM($E$11:E59)</f>
        <v>122.47</v>
      </c>
    </row>
    <row r="60" spans="2:12" x14ac:dyDescent="0.2">
      <c r="B60" s="39"/>
      <c r="C60" s="58"/>
      <c r="D60" s="16"/>
      <c r="E60" s="155"/>
      <c r="F60" s="18"/>
      <c r="G60" s="36">
        <v>0</v>
      </c>
      <c r="H60" s="36"/>
      <c r="I60" s="20"/>
      <c r="J60" s="36">
        <f t="shared" si="2"/>
        <v>12247</v>
      </c>
      <c r="K60" s="31"/>
      <c r="L60" s="36">
        <f>J60/SUM($E$11:E60)</f>
        <v>122.47</v>
      </c>
    </row>
    <row r="61" spans="2:12" x14ac:dyDescent="0.2">
      <c r="B61" s="39"/>
      <c r="C61" s="58"/>
      <c r="D61" s="16"/>
      <c r="E61" s="155"/>
      <c r="F61" s="18"/>
      <c r="G61" s="36">
        <v>0</v>
      </c>
      <c r="H61" s="36"/>
      <c r="I61" s="20"/>
      <c r="J61" s="36">
        <f t="shared" si="2"/>
        <v>12247</v>
      </c>
      <c r="K61" s="31"/>
      <c r="L61" s="36">
        <f>J61/SUM($E$11:E61)</f>
        <v>122.47</v>
      </c>
    </row>
    <row r="62" spans="2:12" x14ac:dyDescent="0.2">
      <c r="B62" s="39"/>
      <c r="C62" s="58"/>
      <c r="D62" s="16"/>
      <c r="E62" s="155"/>
      <c r="F62" s="18"/>
      <c r="G62" s="36">
        <v>0</v>
      </c>
      <c r="H62" s="36"/>
      <c r="I62" s="20"/>
      <c r="J62" s="36">
        <f t="shared" si="2"/>
        <v>12247</v>
      </c>
      <c r="K62" s="31"/>
      <c r="L62" s="36">
        <f>J62/SUM($E$11:E62)</f>
        <v>122.47</v>
      </c>
    </row>
    <row r="63" spans="2:12" x14ac:dyDescent="0.2">
      <c r="B63" s="39"/>
      <c r="C63" s="58"/>
      <c r="D63" s="16"/>
      <c r="E63" s="155"/>
      <c r="F63" s="18"/>
      <c r="G63" s="36">
        <v>0</v>
      </c>
      <c r="H63" s="36"/>
      <c r="I63" s="20"/>
      <c r="J63" s="36">
        <f t="shared" si="2"/>
        <v>12247</v>
      </c>
      <c r="K63" s="31"/>
      <c r="L63" s="36">
        <f>J63/SUM($E$11:E63)</f>
        <v>122.47</v>
      </c>
    </row>
    <row r="64" spans="2:12" x14ac:dyDescent="0.2">
      <c r="B64" s="39"/>
      <c r="C64" s="58"/>
      <c r="D64" s="16"/>
      <c r="E64" s="155"/>
      <c r="F64" s="18"/>
      <c r="G64" s="36">
        <v>0</v>
      </c>
      <c r="H64" s="36"/>
      <c r="I64" s="20"/>
      <c r="J64" s="36">
        <f t="shared" si="2"/>
        <v>12247</v>
      </c>
      <c r="K64" s="31"/>
      <c r="L64" s="36">
        <f>J64/SUM($E$11:E64)</f>
        <v>122.47</v>
      </c>
    </row>
    <row r="65" spans="2:12" x14ac:dyDescent="0.2">
      <c r="B65" s="39"/>
      <c r="C65" s="58"/>
      <c r="D65" s="16"/>
      <c r="E65" s="155"/>
      <c r="F65" s="18"/>
      <c r="G65" s="36">
        <v>0</v>
      </c>
      <c r="H65" s="36"/>
      <c r="I65" s="20"/>
      <c r="J65" s="36">
        <f t="shared" si="2"/>
        <v>12247</v>
      </c>
      <c r="K65" s="31"/>
      <c r="L65" s="36">
        <f>J65/SUM($E$11:E65)</f>
        <v>122.47</v>
      </c>
    </row>
    <row r="66" spans="2:12" x14ac:dyDescent="0.2">
      <c r="B66" s="39"/>
      <c r="C66" s="58"/>
      <c r="D66" s="16"/>
      <c r="E66" s="155"/>
      <c r="F66" s="18"/>
      <c r="G66" s="36">
        <v>0</v>
      </c>
      <c r="H66" s="36"/>
      <c r="I66" s="20"/>
      <c r="J66" s="36">
        <f t="shared" si="2"/>
        <v>12247</v>
      </c>
      <c r="K66" s="31"/>
      <c r="L66" s="36">
        <f>J66/SUM($E$11:E66)</f>
        <v>122.47</v>
      </c>
    </row>
    <row r="67" spans="2:12" x14ac:dyDescent="0.2">
      <c r="B67" s="39"/>
      <c r="C67" s="58"/>
      <c r="D67" s="16"/>
      <c r="E67" s="155"/>
      <c r="F67" s="18"/>
      <c r="G67" s="36">
        <v>0</v>
      </c>
      <c r="H67" s="36"/>
      <c r="I67" s="20"/>
      <c r="J67" s="36">
        <f t="shared" si="2"/>
        <v>12247</v>
      </c>
      <c r="K67" s="31"/>
      <c r="L67" s="36">
        <f>J67/SUM($E$11:E67)</f>
        <v>122.47</v>
      </c>
    </row>
    <row r="68" spans="2:12" x14ac:dyDescent="0.2">
      <c r="B68" s="39"/>
      <c r="C68" s="58"/>
      <c r="D68" s="16"/>
      <c r="E68" s="155"/>
      <c r="F68" s="18"/>
      <c r="G68" s="36">
        <v>0</v>
      </c>
      <c r="H68" s="36"/>
      <c r="I68" s="20"/>
      <c r="J68" s="36">
        <f t="shared" si="2"/>
        <v>12247</v>
      </c>
      <c r="K68" s="31"/>
      <c r="L68" s="36">
        <f>J68/SUM($E$11:E68)</f>
        <v>122.47</v>
      </c>
    </row>
    <row r="69" spans="2:12" x14ac:dyDescent="0.2">
      <c r="B69" s="39"/>
      <c r="C69" s="58"/>
      <c r="D69" s="16"/>
      <c r="E69" s="155"/>
      <c r="F69" s="18"/>
      <c r="G69" s="36">
        <v>0</v>
      </c>
      <c r="H69" s="36"/>
      <c r="I69" s="20"/>
      <c r="J69" s="36">
        <f t="shared" si="2"/>
        <v>12247</v>
      </c>
      <c r="K69" s="31"/>
      <c r="L69" s="36">
        <f>J69/SUM($E$11:E69)</f>
        <v>122.47</v>
      </c>
    </row>
    <row r="70" spans="2:12" x14ac:dyDescent="0.2">
      <c r="B70" s="39"/>
      <c r="C70" s="58"/>
      <c r="D70" s="16"/>
      <c r="E70" s="155"/>
      <c r="F70" s="18"/>
      <c r="G70" s="36">
        <v>0</v>
      </c>
      <c r="H70" s="36"/>
      <c r="I70" s="20"/>
      <c r="J70" s="36">
        <f t="shared" si="2"/>
        <v>12247</v>
      </c>
      <c r="K70" s="31"/>
      <c r="L70" s="36">
        <f>J70/SUM($E$11:E70)</f>
        <v>122.47</v>
      </c>
    </row>
    <row r="71" spans="2:12" x14ac:dyDescent="0.2">
      <c r="B71" s="39"/>
      <c r="C71" s="58"/>
      <c r="D71" s="16"/>
      <c r="E71" s="155"/>
      <c r="F71" s="18"/>
      <c r="G71" s="36">
        <v>0</v>
      </c>
      <c r="H71" s="36"/>
      <c r="I71" s="20"/>
      <c r="J71" s="36">
        <f t="shared" si="2"/>
        <v>12247</v>
      </c>
      <c r="K71" s="31"/>
      <c r="L71" s="36">
        <f>J71/SUM($E$11:E71)</f>
        <v>122.47</v>
      </c>
    </row>
    <row r="72" spans="2:12" x14ac:dyDescent="0.2">
      <c r="B72" s="39"/>
      <c r="C72" s="58"/>
      <c r="D72" s="16"/>
      <c r="E72" s="155"/>
      <c r="F72" s="18"/>
      <c r="G72" s="36">
        <v>0</v>
      </c>
      <c r="H72" s="36"/>
      <c r="I72" s="20"/>
      <c r="J72" s="36">
        <f t="shared" si="2"/>
        <v>12247</v>
      </c>
      <c r="K72" s="31"/>
      <c r="L72" s="36">
        <f>J72/SUM($E$11:E72)</f>
        <v>122.47</v>
      </c>
    </row>
    <row r="73" spans="2:12" x14ac:dyDescent="0.2">
      <c r="B73" s="39"/>
      <c r="C73" s="58"/>
      <c r="D73" s="16"/>
      <c r="E73" s="155"/>
      <c r="F73" s="18"/>
      <c r="G73" s="36">
        <v>0</v>
      </c>
      <c r="H73" s="36"/>
      <c r="I73" s="20"/>
      <c r="J73" s="36">
        <f t="shared" si="2"/>
        <v>12247</v>
      </c>
      <c r="K73" s="31"/>
      <c r="L73" s="36">
        <f>J73/SUM($E$11:E73)</f>
        <v>122.47</v>
      </c>
    </row>
    <row r="74" spans="2:12" x14ac:dyDescent="0.2">
      <c r="B74" s="39"/>
      <c r="C74" s="58"/>
      <c r="D74" s="16"/>
      <c r="E74" s="155"/>
      <c r="F74" s="18"/>
      <c r="G74" s="36">
        <v>0</v>
      </c>
      <c r="H74" s="36"/>
      <c r="I74" s="20"/>
      <c r="J74" s="36">
        <f t="shared" si="2"/>
        <v>12247</v>
      </c>
      <c r="K74" s="31"/>
      <c r="L74" s="36">
        <f>J74/SUM($E$11:E74)</f>
        <v>122.47</v>
      </c>
    </row>
    <row r="75" spans="2:12" x14ac:dyDescent="0.2">
      <c r="B75" s="39"/>
      <c r="C75" s="58"/>
      <c r="D75" s="16"/>
      <c r="E75" s="155"/>
      <c r="F75" s="18"/>
      <c r="G75" s="36">
        <v>0</v>
      </c>
      <c r="H75" s="36"/>
      <c r="I75" s="20"/>
      <c r="J75" s="36">
        <f t="shared" si="2"/>
        <v>12247</v>
      </c>
      <c r="K75" s="31"/>
      <c r="L75" s="36">
        <f>J75/SUM($E$11:E75)</f>
        <v>122.47</v>
      </c>
    </row>
    <row r="76" spans="2:12" x14ac:dyDescent="0.2">
      <c r="B76" s="39"/>
      <c r="C76" s="58"/>
      <c r="D76" s="16"/>
      <c r="E76" s="155"/>
      <c r="F76" s="18"/>
      <c r="G76" s="36">
        <v>0</v>
      </c>
      <c r="H76" s="36"/>
      <c r="I76" s="20"/>
      <c r="J76" s="36">
        <f t="shared" si="2"/>
        <v>12247</v>
      </c>
      <c r="K76" s="31"/>
      <c r="L76" s="36">
        <f>J76/SUM($E$11:E76)</f>
        <v>122.47</v>
      </c>
    </row>
    <row r="77" spans="2:12" ht="19" x14ac:dyDescent="0.25">
      <c r="B77" s="15"/>
      <c r="C77" s="58"/>
      <c r="D77" s="16"/>
      <c r="E77" s="155"/>
      <c r="F77" s="18"/>
      <c r="G77" s="165">
        <f>SUM(G41:G76)</f>
        <v>-1753</v>
      </c>
      <c r="H77" s="165"/>
      <c r="I77" s="20"/>
      <c r="J77" s="19"/>
      <c r="K77" s="31"/>
      <c r="L77" s="165">
        <f>J77/3400</f>
        <v>0</v>
      </c>
    </row>
    <row r="78" spans="2:12" ht="4.75" customHeight="1" x14ac:dyDescent="0.2">
      <c r="B78" s="15"/>
      <c r="C78" s="58"/>
      <c r="D78" s="17"/>
      <c r="E78" s="155"/>
      <c r="F78" s="18"/>
      <c r="G78" s="19"/>
      <c r="H78" s="19"/>
      <c r="I78" s="20"/>
      <c r="J78" s="20"/>
      <c r="K78" s="31"/>
      <c r="L78" s="17"/>
    </row>
    <row r="79" spans="2:12" ht="14" customHeight="1" x14ac:dyDescent="0.25">
      <c r="B79" s="15"/>
      <c r="C79" s="58"/>
      <c r="D79" s="17"/>
      <c r="E79" s="158"/>
      <c r="F79" s="24"/>
      <c r="I79" s="20"/>
      <c r="J79" s="20"/>
      <c r="K79" s="31"/>
      <c r="L79" s="17"/>
    </row>
  </sheetData>
  <mergeCells count="2">
    <mergeCell ref="B1:C1"/>
    <mergeCell ref="B8:G8"/>
  </mergeCells>
  <conditionalFormatting sqref="B77:B116">
    <cfRule type="expression" dxfId="207" priority="17" stopIfTrue="1">
      <formula>K77="assigned"</formula>
    </cfRule>
    <cfRule type="expression" dxfId="206" priority="18">
      <formula>K77="expired"</formula>
    </cfRule>
  </conditionalFormatting>
  <conditionalFormatting sqref="B77:B116">
    <cfRule type="expression" dxfId="205" priority="15">
      <formula>AND(ISNUMBER(SEARCH("call", B77)), K77="expired")</formula>
    </cfRule>
    <cfRule type="expression" dxfId="204" priority="16">
      <formula>AND(ISNUMBER(SEARCH("call", B77)), K77="assigned")</formula>
    </cfRule>
  </conditionalFormatting>
  <conditionalFormatting sqref="B41:B76">
    <cfRule type="expression" dxfId="203" priority="8" stopIfTrue="1">
      <formula>K41="closing"</formula>
    </cfRule>
    <cfRule type="expression" dxfId="202" priority="9" stopIfTrue="1">
      <formula>K41="closed"</formula>
    </cfRule>
    <cfRule type="expression" dxfId="201" priority="10" stopIfTrue="1">
      <formula>K41="ROLL"</formula>
    </cfRule>
    <cfRule type="expression" dxfId="200" priority="11" stopIfTrue="1">
      <formula>AND(ISNUMBER(SEARCH("call", B41)), K41="expired")</formula>
    </cfRule>
    <cfRule type="expression" dxfId="199" priority="12" stopIfTrue="1">
      <formula>AND(ISNUMBER(SEARCH("call", B41)), K41="assigned")</formula>
    </cfRule>
    <cfRule type="expression" dxfId="198" priority="13" stopIfTrue="1">
      <formula>K41="assigned"</formula>
    </cfRule>
    <cfRule type="expression" dxfId="197" priority="14">
      <formula>K41="expired"</formula>
    </cfRule>
  </conditionalFormatting>
  <pageMargins left="0.7" right="0.7" top="0.75" bottom="0.75" header="0.3" footer="0.3"/>
  <pageSetup paperSize="0" orientation="portrait" r:id="rId1"/>
</worksheet>
</file>

<file path=xl/worksheets/sheet3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24ED-2085-6446-83A6-08F7557FEEA1}">
  <sheetPr codeName="Sheet14"/>
  <dimension ref="B1:N108"/>
  <sheetViews>
    <sheetView zoomScaleNormal="110" workbookViewId="0">
      <pane xSplit="1" ySplit="10" topLeftCell="B11" activePane="bottomRight" state="frozen"/>
      <selection activeCell="F3" sqref="F3"/>
      <selection pane="topRight" activeCell="F3" sqref="F3"/>
      <selection pane="bottomLeft" activeCell="F3" sqref="F3"/>
      <selection pane="bottomRight" activeCell="D24" sqref="D24"/>
    </sheetView>
  </sheetViews>
  <sheetFormatPr baseColWidth="10" defaultColWidth="8.83203125" defaultRowHeight="15" x14ac:dyDescent="0.2"/>
  <cols>
    <col min="1" max="1" width="6" customWidth="1"/>
    <col min="2" max="2" width="34.83203125" style="29" customWidth="1"/>
    <col min="3" max="3" width="8.83203125" style="55" bestFit="1" customWidth="1"/>
    <col min="4" max="4" width="6.6640625" customWidth="1"/>
    <col min="5" max="5" width="7.33203125" bestFit="1" customWidth="1"/>
    <col min="6" max="6" width="9.1640625" bestFit="1" customWidth="1"/>
    <col min="7" max="7" width="14.6640625" bestFit="1" customWidth="1"/>
    <col min="8" max="8" width="2.5" customWidth="1"/>
    <col min="9" max="9" width="13" customWidth="1"/>
    <col min="10" max="10" width="12.6640625" style="29" customWidth="1"/>
    <col min="11" max="11" width="10.1640625" style="2" customWidth="1"/>
    <col min="12" max="12" width="21.83203125" bestFit="1" customWidth="1"/>
  </cols>
  <sheetData>
    <row r="1" spans="2:11" ht="17" x14ac:dyDescent="0.2">
      <c r="B1" s="38" t="s">
        <v>48</v>
      </c>
    </row>
    <row r="2" spans="2:11" x14ac:dyDescent="0.2">
      <c r="B2" s="39"/>
      <c r="C2" s="56"/>
      <c r="D2" s="2"/>
      <c r="E2" s="2"/>
      <c r="F2" s="3"/>
      <c r="G2" s="4"/>
    </row>
    <row r="3" spans="2:11" ht="19" x14ac:dyDescent="0.25">
      <c r="B3" s="40"/>
      <c r="C3" s="57"/>
      <c r="D3" s="6"/>
      <c r="E3" s="6"/>
      <c r="F3" s="7" t="s">
        <v>0</v>
      </c>
      <c r="G3" s="8">
        <f>IF(ISERROR(SUM(G40,G102)/G4),SUM(G40,G102),SUM(G40,G102)/G4)</f>
        <v>50.412031349736374</v>
      </c>
      <c r="I3" t="s">
        <v>1</v>
      </c>
      <c r="J3" s="30">
        <v>51.6</v>
      </c>
      <c r="K3" s="6"/>
    </row>
    <row r="4" spans="2:11" x14ac:dyDescent="0.2">
      <c r="B4" s="41"/>
      <c r="C4" s="56"/>
      <c r="D4" s="2"/>
      <c r="E4" s="2"/>
      <c r="F4" s="3" t="s">
        <v>2</v>
      </c>
      <c r="G4" s="9">
        <f>ROUNDDOWN(SUM(E11:E39),0)</f>
        <v>1138</v>
      </c>
    </row>
    <row r="5" spans="2:11" x14ac:dyDescent="0.2">
      <c r="C5" s="56"/>
      <c r="D5" s="2"/>
      <c r="E5" s="2"/>
      <c r="F5" s="3"/>
      <c r="G5" s="4"/>
    </row>
    <row r="6" spans="2:11" x14ac:dyDescent="0.2">
      <c r="C6" s="58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39"/>
      <c r="C7" s="58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ht="16" x14ac:dyDescent="0.2">
      <c r="B9" s="42" t="s">
        <v>11</v>
      </c>
      <c r="C9" s="59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42"/>
      <c r="C10" s="59"/>
      <c r="D10" s="11"/>
      <c r="E10" s="11"/>
      <c r="F10" s="13"/>
      <c r="G10" s="14"/>
      <c r="H10" s="11"/>
      <c r="I10" s="11"/>
      <c r="J10" s="33"/>
      <c r="K10" s="11"/>
    </row>
    <row r="11" spans="2:11" ht="32" x14ac:dyDescent="0.2">
      <c r="B11" s="39" t="s">
        <v>65</v>
      </c>
      <c r="C11" s="58" t="d">
        <v>2024-08-02</v>
      </c>
      <c r="D11" s="16"/>
      <c r="E11" s="17">
        <v>400</v>
      </c>
      <c r="F11" s="35">
        <v>59</v>
      </c>
      <c r="G11" s="36">
        <f>E11*F11</f>
        <v>23600</v>
      </c>
      <c r="H11" s="20"/>
      <c r="I11" s="36">
        <f>G11</f>
        <v>23600</v>
      </c>
      <c r="J11" s="31" t="s">
        <v>63</v>
      </c>
      <c r="K11" s="34">
        <f>IF(ISERROR(I11/$G$4),0,I11/SUM($E$11:E11))</f>
        <v>59</v>
      </c>
    </row>
    <row r="12" spans="2:11" ht="32" x14ac:dyDescent="0.2">
      <c r="B12" s="39" t="s">
        <v>64</v>
      </c>
      <c r="C12" s="58" t="d">
        <v>2024-09-06</v>
      </c>
      <c r="D12" s="16"/>
      <c r="E12" s="17">
        <v>100</v>
      </c>
      <c r="F12" s="35">
        <v>56</v>
      </c>
      <c r="G12" s="36">
        <f>E12*F12</f>
        <v>5600</v>
      </c>
      <c r="H12" s="20"/>
      <c r="I12" s="36">
        <f t="shared" ref="I12:I22" si="0">I11+G12</f>
        <v>29200</v>
      </c>
      <c r="J12" s="31" t="s">
        <v>66</v>
      </c>
      <c r="K12" s="34">
        <f>IF(ISERROR(I12/$G$4),0,I12/SUM($E$11:E12))</f>
        <v>58.4</v>
      </c>
    </row>
    <row r="13" spans="2:11" ht="32" x14ac:dyDescent="0.2">
      <c r="B13" s="39" t="s">
        <v>64</v>
      </c>
      <c r="C13" s="58" t="d">
        <v>2024-09-13</v>
      </c>
      <c r="D13" s="16"/>
      <c r="E13" s="17">
        <v>100</v>
      </c>
      <c r="F13" s="35">
        <v>54</v>
      </c>
      <c r="G13" s="36">
        <f>E13*F13</f>
        <v>5400</v>
      </c>
      <c r="H13" s="20"/>
      <c r="I13" s="36">
        <f t="shared" si="0"/>
        <v>34600</v>
      </c>
      <c r="J13" s="31" t="s">
        <v>67</v>
      </c>
      <c r="K13" s="34">
        <f>IF(ISERROR(I13/$G$4),0,I13/SUM($E$11:E13))</f>
        <v>57.666666666666664</v>
      </c>
    </row>
    <row r="14" spans="2:11" ht="16" x14ac:dyDescent="0.2">
      <c r="B14" s="39" t="s">
        <v>24</v>
      </c>
      <c r="C14" s="58" t="d">
        <v>2024-10-15</v>
      </c>
      <c r="D14" s="16"/>
      <c r="E14" s="17"/>
      <c r="F14" s="35"/>
      <c r="G14" s="36">
        <v>-110</v>
      </c>
      <c r="H14" s="20"/>
      <c r="I14" s="36">
        <f t="shared" si="0"/>
        <v>34490</v>
      </c>
      <c r="J14" s="31"/>
      <c r="K14" s="34"/>
    </row>
    <row r="15" spans="2:11" ht="32" x14ac:dyDescent="0.2">
      <c r="B15" s="39" t="s">
        <v>99</v>
      </c>
      <c r="C15" s="58" t="d">
        <v>2024-10-19</v>
      </c>
      <c r="D15" s="16"/>
      <c r="E15" s="17">
        <v>200</v>
      </c>
      <c r="F15" s="35">
        <v>52</v>
      </c>
      <c r="G15" s="36">
        <f>E15*F15</f>
        <v>10400</v>
      </c>
      <c r="H15" s="20"/>
      <c r="I15" s="36">
        <f t="shared" si="0"/>
        <v>44890</v>
      </c>
      <c r="J15" s="31" t="s">
        <v>100</v>
      </c>
      <c r="K15" s="34">
        <f>IF(ISERROR(I15/$G$4),0,I15/SUM($E$11:E15))</f>
        <v>56.112499999999997</v>
      </c>
    </row>
    <row r="16" spans="2:11" ht="16" x14ac:dyDescent="0.2">
      <c r="B16" s="39" t="s">
        <v>182</v>
      </c>
      <c r="C16" s="58" t="d">
        <v>2024-12-06</v>
      </c>
      <c r="D16" s="16"/>
      <c r="E16" s="17">
        <v>100</v>
      </c>
      <c r="F16" s="35">
        <v>48.5</v>
      </c>
      <c r="G16" s="36">
        <f>E16*F16</f>
        <v>4850</v>
      </c>
      <c r="H16" s="20"/>
      <c r="I16" s="36">
        <f t="shared" si="0"/>
        <v>49740</v>
      </c>
      <c r="J16" s="31"/>
      <c r="K16" s="34">
        <f>IF(ISERROR(I16/$G$4),0,I16/SUM($E$11:E16))</f>
        <v>55.266666666666666</v>
      </c>
    </row>
    <row r="17" spans="2:11" ht="17" customHeight="1" x14ac:dyDescent="0.2">
      <c r="B17" s="39" t="s">
        <v>182</v>
      </c>
      <c r="C17" s="58" t="d">
        <v>2024-12-14</v>
      </c>
      <c r="D17" s="16"/>
      <c r="E17" s="17">
        <v>200</v>
      </c>
      <c r="F17" s="35">
        <v>48.5</v>
      </c>
      <c r="G17" s="36">
        <f>E17*F17</f>
        <v>9700</v>
      </c>
      <c r="H17" s="20"/>
      <c r="I17" s="36">
        <f t="shared" si="0"/>
        <v>59440</v>
      </c>
      <c r="J17" s="31"/>
      <c r="K17" s="34">
        <f>IF(ISERROR(I17/$G$4),0,I17/SUM($E$11:E17))</f>
        <v>54.036363636363639</v>
      </c>
    </row>
    <row r="18" spans="2:11" ht="15" customHeight="1" x14ac:dyDescent="0.2">
      <c r="B18" s="39" t="s">
        <v>24</v>
      </c>
      <c r="C18" s="58" t="d">
        <v>2025-01-15</v>
      </c>
      <c r="D18" s="16"/>
      <c r="E18" s="17"/>
      <c r="F18" s="35"/>
      <c r="G18" s="36">
        <v>-198</v>
      </c>
      <c r="H18" s="20"/>
      <c r="I18" s="36">
        <f t="shared" si="0"/>
        <v>59242</v>
      </c>
      <c r="J18" s="31"/>
      <c r="K18" s="34">
        <f>IF(ISERROR(I18/$G$4),0,I18/SUM($E$11:E18))</f>
        <v>53.856363636363639</v>
      </c>
    </row>
    <row r="19" spans="2:11" ht="16" x14ac:dyDescent="0.2">
      <c r="B19" s="39" t="s">
        <v>559</v>
      </c>
      <c r="C19" s="58" t="d">
        <v>2025-01-15</v>
      </c>
      <c r="D19" s="16"/>
      <c r="E19" s="17">
        <v>3.7707999999999999</v>
      </c>
      <c r="F19" s="35">
        <f>G19/E19</f>
        <v>52.508751458576434</v>
      </c>
      <c r="G19" s="36">
        <v>198</v>
      </c>
      <c r="H19" s="20"/>
      <c r="I19" s="36">
        <f t="shared" si="0"/>
        <v>59440</v>
      </c>
      <c r="J19" s="31"/>
      <c r="K19" s="34">
        <f>IF(ISERROR(I19/$G$4),0,I19/SUM($E$11:E19))</f>
        <v>53.851759803756359</v>
      </c>
    </row>
    <row r="20" spans="2:11" ht="16" x14ac:dyDescent="0.2">
      <c r="B20" s="39" t="s">
        <v>23</v>
      </c>
      <c r="C20" s="58" t="d">
        <v>2025-01-31</v>
      </c>
      <c r="D20" s="16"/>
      <c r="E20" s="17">
        <v>25</v>
      </c>
      <c r="F20" s="35">
        <v>46.99</v>
      </c>
      <c r="G20" s="36">
        <f>E20*F20</f>
        <v>1174.75</v>
      </c>
      <c r="H20" s="20"/>
      <c r="I20" s="36">
        <f t="shared" si="0"/>
        <v>60614.75</v>
      </c>
      <c r="J20" s="31"/>
      <c r="K20" s="34">
        <f>IF(ISERROR(I20/$G$4),0,I20/SUM($E$11:E20))</f>
        <v>53.699785642931232</v>
      </c>
    </row>
    <row r="21" spans="2:11" ht="16" x14ac:dyDescent="0.2">
      <c r="B21" s="39" t="s">
        <v>23</v>
      </c>
      <c r="C21" s="58" t="d">
        <v>2025-01-31</v>
      </c>
      <c r="D21" s="16"/>
      <c r="E21" s="17">
        <v>10</v>
      </c>
      <c r="F21" s="35">
        <v>46.85</v>
      </c>
      <c r="G21" s="36">
        <f>E21*F21</f>
        <v>468.5</v>
      </c>
      <c r="H21" s="20"/>
      <c r="I21" s="36">
        <f t="shared" si="0"/>
        <v>61083.25</v>
      </c>
      <c r="J21" s="31"/>
      <c r="K21" s="34">
        <f>IF(ISERROR(I21/$G$4),0,I21/SUM($E$11:E21))</f>
        <v>53.639634946733793</v>
      </c>
    </row>
    <row r="22" spans="2:11" ht="16" x14ac:dyDescent="0.2">
      <c r="B22" s="39" t="s">
        <v>24</v>
      </c>
      <c r="C22" s="58" t="d">
        <v>2025-04-15</v>
      </c>
      <c r="D22" s="16"/>
      <c r="E22" s="17"/>
      <c r="F22" s="35"/>
      <c r="G22" s="36">
        <v>-273.3</v>
      </c>
      <c r="H22" s="20"/>
      <c r="I22" s="36">
        <f t="shared" si="0"/>
        <v>60809.95</v>
      </c>
      <c r="J22" s="31"/>
      <c r="K22" s="34">
        <f>IF(ISERROR(I22/$G$4),0,I22/SUM($E$11:E22))</f>
        <v>53.399639330407837</v>
      </c>
    </row>
    <row r="23" spans="2:11" ht="16" x14ac:dyDescent="0.2">
      <c r="B23" s="39" t="s">
        <v>26</v>
      </c>
      <c r="C23" s="58" t="d">
        <v>2025-08-19</v>
      </c>
      <c r="D23" s="16"/>
      <c r="E23" s="17">
        <v>-0.77080000000000004</v>
      </c>
      <c r="F23" s="35">
        <v>44.03</v>
      </c>
      <c r="G23" s="36">
        <f t="shared" ref="G23:G37" si="1">E23*F23</f>
        <v>-33.938324000000001</v>
      </c>
      <c r="H23" s="20"/>
      <c r="I23" s="36">
        <f t="shared" ref="I23:I37" si="2">I22+G23</f>
        <v>60776.011675999995</v>
      </c>
      <c r="J23" s="31"/>
      <c r="K23" s="34">
        <f>IF(ISERROR(I23/$G$4),0,I23/SUM($E$11:E23))</f>
        <v>53.405985655536021</v>
      </c>
    </row>
    <row r="24" spans="2:11" ht="16" x14ac:dyDescent="0.2">
      <c r="B24" s="39" t="s">
        <v>24</v>
      </c>
      <c r="C24" s="58" t="d">
        <v>2025-10-15</v>
      </c>
      <c r="D24" s="16"/>
      <c r="E24" s="17"/>
      <c r="F24" s="35"/>
      <c r="G24" s="36">
        <v>-273.12</v>
      </c>
      <c r="H24" s="20"/>
      <c r="I24" s="36">
        <f t="shared" si="2"/>
        <v>60502.891675999992</v>
      </c>
      <c r="J24" s="31"/>
      <c r="K24" s="34">
        <f>IF(ISERROR(I24/$G$4),0,I24/SUM($E$11:E24))</f>
        <v>53.165985655536019</v>
      </c>
    </row>
    <row r="25" spans="2:11" x14ac:dyDescent="0.2">
      <c r="B25" s="39"/>
      <c r="C25" s="58"/>
      <c r="D25" s="16"/>
      <c r="E25" s="17"/>
      <c r="F25" s="35"/>
      <c r="G25" s="36">
        <f t="shared" si="1"/>
        <v>0</v>
      </c>
      <c r="H25" s="20"/>
      <c r="I25" s="36">
        <f t="shared" si="2"/>
        <v>60502.891675999992</v>
      </c>
      <c r="J25" s="31"/>
      <c r="K25" s="34">
        <f>IF(ISERROR(I25/$G$4),0,I25/SUM($E$11:E25))</f>
        <v>53.165985655536019</v>
      </c>
    </row>
    <row r="26" spans="2:11" x14ac:dyDescent="0.2">
      <c r="B26" s="39"/>
      <c r="C26" s="58"/>
      <c r="D26" s="16"/>
      <c r="E26" s="17"/>
      <c r="F26" s="35"/>
      <c r="G26" s="36">
        <f t="shared" si="1"/>
        <v>0</v>
      </c>
      <c r="H26" s="20"/>
      <c r="I26" s="36">
        <f t="shared" si="2"/>
        <v>60502.891675999992</v>
      </c>
      <c r="J26" s="31"/>
      <c r="K26" s="34">
        <f>IF(ISERROR(I26/$G$4),0,I26/SUM($E$11:E26))</f>
        <v>53.165985655536019</v>
      </c>
    </row>
    <row r="27" spans="2:11" x14ac:dyDescent="0.2">
      <c r="B27" s="39"/>
      <c r="C27" s="58"/>
      <c r="D27" s="16"/>
      <c r="E27" s="17"/>
      <c r="F27" s="35"/>
      <c r="G27" s="36">
        <f t="shared" si="1"/>
        <v>0</v>
      </c>
      <c r="H27" s="20"/>
      <c r="I27" s="36">
        <f t="shared" si="2"/>
        <v>60502.891675999992</v>
      </c>
      <c r="J27" s="31"/>
      <c r="K27" s="34">
        <f>IF(ISERROR(I27/$G$4),0,I27/SUM($E$11:E27))</f>
        <v>53.165985655536019</v>
      </c>
    </row>
    <row r="28" spans="2:11" x14ac:dyDescent="0.2">
      <c r="B28" s="39"/>
      <c r="C28" s="58"/>
      <c r="D28" s="16"/>
      <c r="E28" s="17"/>
      <c r="F28" s="35"/>
      <c r="G28" s="36">
        <f t="shared" si="1"/>
        <v>0</v>
      </c>
      <c r="H28" s="20"/>
      <c r="I28" s="36">
        <f t="shared" si="2"/>
        <v>60502.891675999992</v>
      </c>
      <c r="J28" s="31"/>
      <c r="K28" s="34">
        <f>IF(ISERROR(I28/$G$4),0,I28/SUM($E$11:E28))</f>
        <v>53.165985655536019</v>
      </c>
    </row>
    <row r="29" spans="2:11" x14ac:dyDescent="0.2">
      <c r="B29" s="39"/>
      <c r="C29" s="58"/>
      <c r="D29" s="16"/>
      <c r="E29" s="17"/>
      <c r="F29" s="35"/>
      <c r="G29" s="36">
        <f t="shared" si="1"/>
        <v>0</v>
      </c>
      <c r="H29" s="20"/>
      <c r="I29" s="36">
        <f t="shared" si="2"/>
        <v>60502.891675999992</v>
      </c>
      <c r="J29" s="31"/>
      <c r="K29" s="34">
        <f>IF(ISERROR(I29/$G$4),0,I29/SUM($E$11:E29))</f>
        <v>53.165985655536019</v>
      </c>
    </row>
    <row r="30" spans="2:11" x14ac:dyDescent="0.2">
      <c r="B30" s="39"/>
      <c r="C30" s="58"/>
      <c r="D30" s="16"/>
      <c r="E30" s="17"/>
      <c r="F30" s="35"/>
      <c r="G30" s="36">
        <f t="shared" si="1"/>
        <v>0</v>
      </c>
      <c r="H30" s="20"/>
      <c r="I30" s="36">
        <f t="shared" si="2"/>
        <v>60502.891675999992</v>
      </c>
      <c r="J30" s="31"/>
      <c r="K30" s="34">
        <f>IF(ISERROR(I30/$G$4),0,I30/SUM($E$11:E30))</f>
        <v>53.165985655536019</v>
      </c>
    </row>
    <row r="31" spans="2:11" x14ac:dyDescent="0.2">
      <c r="B31" s="39"/>
      <c r="C31" s="58"/>
      <c r="D31" s="16"/>
      <c r="E31" s="17"/>
      <c r="F31" s="35"/>
      <c r="G31" s="36">
        <f t="shared" si="1"/>
        <v>0</v>
      </c>
      <c r="H31" s="20"/>
      <c r="I31" s="36">
        <f t="shared" si="2"/>
        <v>60502.891675999992</v>
      </c>
      <c r="J31" s="31"/>
      <c r="K31" s="34">
        <f>IF(ISERROR(I31/$G$4),0,I31/SUM($E$11:E31))</f>
        <v>53.165985655536019</v>
      </c>
    </row>
    <row r="32" spans="2:11" x14ac:dyDescent="0.2">
      <c r="B32" s="39"/>
      <c r="C32" s="58"/>
      <c r="D32" s="16"/>
      <c r="E32" s="17"/>
      <c r="F32" s="35"/>
      <c r="G32" s="36">
        <f t="shared" si="1"/>
        <v>0</v>
      </c>
      <c r="H32" s="20"/>
      <c r="I32" s="36">
        <f t="shared" si="2"/>
        <v>60502.891675999992</v>
      </c>
      <c r="J32" s="31"/>
      <c r="K32" s="34">
        <f>IF(ISERROR(I32/$G$4),0,I32/SUM($E$11:E32))</f>
        <v>53.165985655536019</v>
      </c>
    </row>
    <row r="33" spans="2:14" x14ac:dyDescent="0.2">
      <c r="B33" s="39"/>
      <c r="C33" s="58"/>
      <c r="D33" s="16"/>
      <c r="E33" s="17"/>
      <c r="F33" s="35"/>
      <c r="G33" s="36">
        <f t="shared" si="1"/>
        <v>0</v>
      </c>
      <c r="H33" s="20"/>
      <c r="I33" s="36">
        <f t="shared" si="2"/>
        <v>60502.891675999992</v>
      </c>
      <c r="J33" s="31"/>
      <c r="K33" s="34">
        <f>IF(ISERROR(I33/$G$4),0,I33/SUM($E$11:E33))</f>
        <v>53.165985655536019</v>
      </c>
    </row>
    <row r="34" spans="2:14" x14ac:dyDescent="0.2">
      <c r="B34" s="39"/>
      <c r="C34" s="58"/>
      <c r="D34" s="16"/>
      <c r="E34" s="17"/>
      <c r="F34" s="35"/>
      <c r="G34" s="36">
        <f t="shared" si="1"/>
        <v>0</v>
      </c>
      <c r="H34" s="20"/>
      <c r="I34" s="36">
        <f t="shared" si="2"/>
        <v>60502.891675999992</v>
      </c>
      <c r="J34" s="31"/>
      <c r="K34" s="34">
        <f>IF(ISERROR(I34/$G$4),0,I34/SUM($E$11:E34))</f>
        <v>53.165985655536019</v>
      </c>
    </row>
    <row r="35" spans="2:14" x14ac:dyDescent="0.2">
      <c r="B35" s="39"/>
      <c r="C35" s="58"/>
      <c r="D35" s="16"/>
      <c r="E35" s="17"/>
      <c r="F35" s="35"/>
      <c r="G35" s="36">
        <f t="shared" si="1"/>
        <v>0</v>
      </c>
      <c r="H35" s="20"/>
      <c r="I35" s="36">
        <f t="shared" si="2"/>
        <v>60502.891675999992</v>
      </c>
      <c r="J35" s="31"/>
      <c r="K35" s="34">
        <f>IF(ISERROR(I35/$G$4),0,I35/SUM($E$11:E35))</f>
        <v>53.165985655536019</v>
      </c>
    </row>
    <row r="36" spans="2:14" x14ac:dyDescent="0.2">
      <c r="B36" s="39"/>
      <c r="C36" s="58"/>
      <c r="D36" s="16"/>
      <c r="E36" s="17"/>
      <c r="F36" s="35"/>
      <c r="G36" s="36">
        <f t="shared" si="1"/>
        <v>0</v>
      </c>
      <c r="H36" s="20"/>
      <c r="I36" s="36">
        <f t="shared" si="2"/>
        <v>60502.891675999992</v>
      </c>
      <c r="J36" s="31"/>
      <c r="K36" s="34">
        <f>IF(ISERROR(I36/$G$4),0,I36/SUM($E$11:E36))</f>
        <v>53.165985655536019</v>
      </c>
    </row>
    <row r="37" spans="2:14" x14ac:dyDescent="0.2">
      <c r="B37" s="39"/>
      <c r="C37" s="58"/>
      <c r="D37" s="16"/>
      <c r="E37" s="17"/>
      <c r="F37" s="35"/>
      <c r="G37" s="36">
        <f t="shared" si="1"/>
        <v>0</v>
      </c>
      <c r="H37" s="20"/>
      <c r="I37" s="36">
        <f t="shared" si="2"/>
        <v>60502.891675999992</v>
      </c>
      <c r="J37" s="31"/>
      <c r="K37" s="34">
        <f>IF(ISERROR(I37/$G$4),0,I37/SUM($E$11:E37))</f>
        <v>53.165985655536019</v>
      </c>
    </row>
    <row r="38" spans="2:14" x14ac:dyDescent="0.2">
      <c r="B38" s="39"/>
      <c r="C38" s="58"/>
      <c r="D38" s="16"/>
      <c r="E38" s="17"/>
      <c r="F38" s="35"/>
      <c r="G38" s="36">
        <f>E38*F38</f>
        <v>0</v>
      </c>
      <c r="H38" s="20"/>
      <c r="I38" s="36">
        <f>I22+G38</f>
        <v>60809.95</v>
      </c>
      <c r="J38" s="31"/>
      <c r="K38" s="34">
        <f>IF(ISERROR(I38/$G$4),0,I38/SUM($E$11:E38))</f>
        <v>53.435808435852373</v>
      </c>
    </row>
    <row r="39" spans="2:14" x14ac:dyDescent="0.2">
      <c r="B39" s="39"/>
      <c r="C39" s="58"/>
      <c r="D39" s="16"/>
      <c r="E39" s="17"/>
      <c r="F39" s="35"/>
      <c r="G39" s="36">
        <f>E39*F39</f>
        <v>0</v>
      </c>
      <c r="H39" s="20"/>
      <c r="I39" s="36">
        <f>I38+G39</f>
        <v>60809.95</v>
      </c>
      <c r="J39" s="31"/>
      <c r="K39" s="34">
        <f>IF(ISERROR(I39/$G$4),0,I39/SUM($E$11:E39))</f>
        <v>53.435808435852373</v>
      </c>
    </row>
    <row r="40" spans="2:14" ht="30" customHeight="1" x14ac:dyDescent="0.2">
      <c r="G40" s="138">
        <f>SUM(G11:G39)</f>
        <v>60502.891675999992</v>
      </c>
      <c r="H40" s="139"/>
      <c r="I40" s="140"/>
      <c r="J40" s="141"/>
      <c r="K40" s="142">
        <f>SUM(G11:G39)/SUM(E11:E39)</f>
        <v>53.165985655536019</v>
      </c>
    </row>
    <row r="41" spans="2:14" ht="6" customHeight="1" x14ac:dyDescent="0.2">
      <c r="B41" s="47"/>
      <c r="C41" s="60"/>
      <c r="D41" s="48"/>
      <c r="E41" s="48"/>
      <c r="F41" s="49"/>
      <c r="G41" s="50"/>
      <c r="H41" s="51"/>
      <c r="I41" s="51"/>
      <c r="J41" s="52"/>
      <c r="K41" s="48"/>
    </row>
    <row r="42" spans="2:14" ht="6.5" customHeight="1" x14ac:dyDescent="0.2">
      <c r="B42" s="47"/>
      <c r="C42" s="60"/>
      <c r="D42" s="48"/>
      <c r="E42" s="48"/>
      <c r="F42" s="49"/>
      <c r="G42" s="50"/>
      <c r="H42" s="51"/>
      <c r="I42" s="51"/>
      <c r="J42" s="52"/>
      <c r="K42" s="48"/>
    </row>
    <row r="43" spans="2:14" ht="16" x14ac:dyDescent="0.2">
      <c r="B43" s="39" t="s">
        <v>49</v>
      </c>
      <c r="C43" s="58" t="d">
        <v>2024-07-23</v>
      </c>
      <c r="D43" s="53">
        <v>10</v>
      </c>
      <c r="E43" s="17"/>
      <c r="F43" s="18">
        <v>60.39</v>
      </c>
      <c r="G43" s="36">
        <v>-144</v>
      </c>
      <c r="H43" s="20"/>
      <c r="I43" s="46">
        <f>I39+G43</f>
        <v>60665.95</v>
      </c>
      <c r="J43" s="152" t="s">
        <v>52</v>
      </c>
      <c r="K43" s="37">
        <f>I43/SUM($E$11:E43)</f>
        <v>53.30927065026362</v>
      </c>
    </row>
    <row r="44" spans="2:14" ht="16" x14ac:dyDescent="0.2">
      <c r="B44" s="39" t="s">
        <v>53</v>
      </c>
      <c r="C44" s="58" t="d">
        <v>2024-08-05</v>
      </c>
      <c r="D44" s="53">
        <v>11</v>
      </c>
      <c r="E44" s="17"/>
      <c r="F44" s="18"/>
      <c r="G44" s="36">
        <v>-252</v>
      </c>
      <c r="H44" s="20"/>
      <c r="I44" s="46">
        <f t="shared" ref="I44:I64" si="3">I43+G44</f>
        <v>60413.95</v>
      </c>
      <c r="J44" s="152" t="s">
        <v>51</v>
      </c>
      <c r="K44" s="37">
        <f>I44/SUM($E$11:E44)</f>
        <v>53.087829525483301</v>
      </c>
      <c r="N44" s="144" t="s">
        <v>268</v>
      </c>
    </row>
    <row r="45" spans="2:14" ht="16" x14ac:dyDescent="0.2">
      <c r="B45" s="39" t="s">
        <v>50</v>
      </c>
      <c r="C45" s="58" t="d">
        <v>2024-08-20</v>
      </c>
      <c r="D45" s="53">
        <v>8</v>
      </c>
      <c r="E45" s="17"/>
      <c r="F45" s="18"/>
      <c r="G45" s="36">
        <v>-26</v>
      </c>
      <c r="H45" s="20"/>
      <c r="I45" s="46">
        <f t="shared" si="3"/>
        <v>60387.95</v>
      </c>
      <c r="J45" s="152" t="s">
        <v>51</v>
      </c>
      <c r="K45" s="37">
        <f>I45/SUM($E$11:E45)</f>
        <v>53.064982425307555</v>
      </c>
      <c r="N45" s="143" t="s">
        <v>269</v>
      </c>
    </row>
    <row r="46" spans="2:14" ht="16" x14ac:dyDescent="0.2">
      <c r="B46" s="39" t="s">
        <v>58</v>
      </c>
      <c r="C46" s="58" t="d">
        <v>2024-08-29</v>
      </c>
      <c r="D46" s="53">
        <v>9</v>
      </c>
      <c r="E46" s="17"/>
      <c r="F46" s="18">
        <v>56</v>
      </c>
      <c r="G46" s="36">
        <v>-42</v>
      </c>
      <c r="H46" s="20"/>
      <c r="I46" s="46">
        <f t="shared" si="3"/>
        <v>60345.95</v>
      </c>
      <c r="J46" s="152" t="s">
        <v>52</v>
      </c>
      <c r="K46" s="37">
        <f>I46/SUM($E$11:E46)</f>
        <v>53.028075571177503</v>
      </c>
      <c r="N46" s="145" t="s">
        <v>270</v>
      </c>
    </row>
    <row r="47" spans="2:14" ht="16" x14ac:dyDescent="0.2">
      <c r="B47" s="39" t="s">
        <v>59</v>
      </c>
      <c r="C47" s="58" t="d">
        <v>2024-09-03</v>
      </c>
      <c r="D47" s="53">
        <v>10</v>
      </c>
      <c r="E47" s="17"/>
      <c r="F47" s="18"/>
      <c r="G47" s="36">
        <v>-32</v>
      </c>
      <c r="H47" s="20"/>
      <c r="I47" s="46">
        <f t="shared" si="3"/>
        <v>60313.95</v>
      </c>
      <c r="J47" s="152" t="s">
        <v>52</v>
      </c>
      <c r="K47" s="37">
        <f>I47/SUM($E$11:E47)</f>
        <v>52.99995606326889</v>
      </c>
      <c r="N47" s="146" t="s">
        <v>271</v>
      </c>
    </row>
    <row r="48" spans="2:14" ht="16" x14ac:dyDescent="0.2">
      <c r="B48" s="39" t="s">
        <v>68</v>
      </c>
      <c r="C48" s="58" t="d">
        <v>2024-09-16</v>
      </c>
      <c r="D48" s="53">
        <v>10</v>
      </c>
      <c r="E48" s="17"/>
      <c r="F48" s="18">
        <v>51</v>
      </c>
      <c r="G48" s="36">
        <v>-66</v>
      </c>
      <c r="H48" s="20"/>
      <c r="I48" s="46">
        <f t="shared" si="3"/>
        <v>60247.95</v>
      </c>
      <c r="J48" s="152" t="s">
        <v>51</v>
      </c>
      <c r="K48" s="37">
        <f>I48/SUM($E$11:E48)</f>
        <v>52.941959578207381</v>
      </c>
      <c r="N48" s="147" t="s">
        <v>266</v>
      </c>
    </row>
    <row r="49" spans="2:11" ht="16" x14ac:dyDescent="0.2">
      <c r="B49" s="39" t="s">
        <v>73</v>
      </c>
      <c r="C49" s="58" t="d">
        <v>2024-09-23</v>
      </c>
      <c r="D49" s="53">
        <v>4</v>
      </c>
      <c r="E49" s="17"/>
      <c r="F49" s="18">
        <v>52.6</v>
      </c>
      <c r="G49" s="36">
        <f>-14*4</f>
        <v>-56</v>
      </c>
      <c r="H49" s="20"/>
      <c r="I49" s="46">
        <f t="shared" si="3"/>
        <v>60191.95</v>
      </c>
      <c r="J49" s="152" t="s">
        <v>51</v>
      </c>
      <c r="K49" s="37">
        <f>I49/SUM($E$11:E49)</f>
        <v>52.892750439367312</v>
      </c>
    </row>
    <row r="50" spans="2:11" ht="16" x14ac:dyDescent="0.2">
      <c r="B50" s="39" t="s">
        <v>77</v>
      </c>
      <c r="C50" s="58" t="d">
        <v>2024-09-24</v>
      </c>
      <c r="D50" s="53"/>
      <c r="E50" s="17"/>
      <c r="F50" s="18"/>
      <c r="G50" s="36">
        <f>-29*5</f>
        <v>-145</v>
      </c>
      <c r="H50" s="20"/>
      <c r="I50" s="46">
        <f t="shared" si="3"/>
        <v>60046.95</v>
      </c>
      <c r="J50" s="152" t="s">
        <v>51</v>
      </c>
      <c r="K50" s="37">
        <f>I50/SUM($E$11:E50)</f>
        <v>52.765333919156411</v>
      </c>
    </row>
    <row r="51" spans="2:11" ht="16" x14ac:dyDescent="0.2">
      <c r="B51" s="39" t="s">
        <v>79</v>
      </c>
      <c r="C51" s="58" t="d">
        <v>2024-10-01</v>
      </c>
      <c r="D51" s="53"/>
      <c r="E51" s="17"/>
      <c r="F51" s="18"/>
      <c r="G51" s="36">
        <f>-6*14</f>
        <v>-84</v>
      </c>
      <c r="H51" s="20"/>
      <c r="I51" s="46">
        <f t="shared" si="3"/>
        <v>59962.95</v>
      </c>
      <c r="J51" s="152" t="s">
        <v>51</v>
      </c>
      <c r="K51" s="37">
        <f>I51/SUM($E$11:E51)</f>
        <v>52.691520210896307</v>
      </c>
    </row>
    <row r="52" spans="2:11" ht="16" x14ac:dyDescent="0.2">
      <c r="B52" s="39" t="s">
        <v>78</v>
      </c>
      <c r="C52" s="58" t="d">
        <v>2024-10-01</v>
      </c>
      <c r="D52" s="53"/>
      <c r="E52" s="17"/>
      <c r="F52" s="18"/>
      <c r="G52" s="36">
        <f>-28*5</f>
        <v>-140</v>
      </c>
      <c r="H52" s="20"/>
      <c r="I52" s="46">
        <f t="shared" si="3"/>
        <v>59822.95</v>
      </c>
      <c r="J52" s="152" t="s">
        <v>51</v>
      </c>
      <c r="K52" s="37">
        <f>I52/SUM($E$11:E52)</f>
        <v>52.568497363796133</v>
      </c>
    </row>
    <row r="53" spans="2:11" ht="16" x14ac:dyDescent="0.2">
      <c r="B53" s="39" t="s">
        <v>86</v>
      </c>
      <c r="C53" s="58" t="d">
        <v>2024-10-09</v>
      </c>
      <c r="D53" s="53"/>
      <c r="E53" s="17"/>
      <c r="F53" s="18"/>
      <c r="G53" s="36">
        <f>-29*2</f>
        <v>-58</v>
      </c>
      <c r="H53" s="20"/>
      <c r="I53" s="46">
        <f t="shared" si="3"/>
        <v>59764.95</v>
      </c>
      <c r="J53" s="152" t="s">
        <v>52</v>
      </c>
      <c r="K53" s="37">
        <f>I53/SUM($E$11:E53)</f>
        <v>52.517530755711775</v>
      </c>
    </row>
    <row r="54" spans="2:11" ht="16" x14ac:dyDescent="0.2">
      <c r="B54" s="39" t="s">
        <v>90</v>
      </c>
      <c r="C54" s="58" t="d">
        <v>2024-10-15</v>
      </c>
      <c r="D54" s="53"/>
      <c r="E54" s="17"/>
      <c r="F54" s="18"/>
      <c r="G54" s="36">
        <f>-26*5</f>
        <v>-130</v>
      </c>
      <c r="H54" s="20"/>
      <c r="I54" s="46">
        <f t="shared" si="3"/>
        <v>59634.95</v>
      </c>
      <c r="J54" s="152" t="s">
        <v>51</v>
      </c>
      <c r="K54" s="37">
        <f>I54/SUM($E$11:E54)</f>
        <v>52.40329525483304</v>
      </c>
    </row>
    <row r="55" spans="2:11" ht="16" x14ac:dyDescent="0.2">
      <c r="B55" s="39" t="s">
        <v>101</v>
      </c>
      <c r="C55" s="58" t="d">
        <v>2024-10-15</v>
      </c>
      <c r="D55" s="53"/>
      <c r="E55" s="17"/>
      <c r="F55" s="18"/>
      <c r="G55" s="36">
        <f>-17*6</f>
        <v>-102</v>
      </c>
      <c r="H55" s="20"/>
      <c r="I55" s="46">
        <f t="shared" si="3"/>
        <v>59532.95</v>
      </c>
      <c r="J55" s="152" t="s">
        <v>51</v>
      </c>
      <c r="K55" s="37">
        <f>I55/SUM($E$11:E55)</f>
        <v>52.31366432337434</v>
      </c>
    </row>
    <row r="56" spans="2:11" ht="16" x14ac:dyDescent="0.2">
      <c r="B56" s="39" t="s">
        <v>107</v>
      </c>
      <c r="C56" s="58" t="d">
        <v>2024-10-28</v>
      </c>
      <c r="D56" s="53"/>
      <c r="E56" s="17"/>
      <c r="F56" s="18"/>
      <c r="G56" s="36">
        <f>-30*2</f>
        <v>-60</v>
      </c>
      <c r="H56" s="20"/>
      <c r="I56" s="46">
        <f t="shared" si="3"/>
        <v>59472.95</v>
      </c>
      <c r="J56" s="152" t="s">
        <v>51</v>
      </c>
      <c r="K56" s="37">
        <f>I56/SUM($E$11:E56)</f>
        <v>52.260940246045692</v>
      </c>
    </row>
    <row r="57" spans="2:11" ht="16" x14ac:dyDescent="0.2">
      <c r="B57" s="39" t="s">
        <v>108</v>
      </c>
      <c r="C57" s="58" t="d">
        <v>2024-10-30</v>
      </c>
      <c r="D57" s="53"/>
      <c r="E57" s="17"/>
      <c r="F57" s="18"/>
      <c r="G57" s="36">
        <f>-27*5</f>
        <v>-135</v>
      </c>
      <c r="H57" s="20"/>
      <c r="I57" s="46">
        <f t="shared" si="3"/>
        <v>59337.95</v>
      </c>
      <c r="J57" s="152" t="s">
        <v>51</v>
      </c>
      <c r="K57" s="37">
        <f>I57/SUM($E$11:E57)</f>
        <v>52.142311072056238</v>
      </c>
    </row>
    <row r="58" spans="2:11" ht="16" x14ac:dyDescent="0.2">
      <c r="B58" s="39" t="s">
        <v>115</v>
      </c>
      <c r="C58" s="58" t="d">
        <v>2024-10-30</v>
      </c>
      <c r="D58" s="53"/>
      <c r="E58" s="17"/>
      <c r="F58" s="18"/>
      <c r="G58" s="36">
        <f>-14*5</f>
        <v>-70</v>
      </c>
      <c r="H58" s="20"/>
      <c r="I58" s="46">
        <f t="shared" si="3"/>
        <v>59267.95</v>
      </c>
      <c r="J58" s="152" t="s">
        <v>51</v>
      </c>
      <c r="K58" s="37">
        <f>I58/SUM($E$11:E58)</f>
        <v>52.080799648506151</v>
      </c>
    </row>
    <row r="59" spans="2:11" ht="16" x14ac:dyDescent="0.2">
      <c r="B59" s="39" t="s">
        <v>114</v>
      </c>
      <c r="C59" s="58" t="d">
        <v>2024-10-30</v>
      </c>
      <c r="D59" s="53"/>
      <c r="E59" s="17"/>
      <c r="F59" s="18"/>
      <c r="G59" s="36">
        <f>-13*3</f>
        <v>-39</v>
      </c>
      <c r="H59" s="20"/>
      <c r="I59" s="46">
        <f t="shared" si="3"/>
        <v>59228.95</v>
      </c>
      <c r="J59" s="152" t="s">
        <v>51</v>
      </c>
      <c r="K59" s="37">
        <f>I59/SUM($E$11:E59)</f>
        <v>52.046528998242529</v>
      </c>
    </row>
    <row r="60" spans="2:11" ht="16" x14ac:dyDescent="0.2">
      <c r="B60" s="39" t="s">
        <v>136</v>
      </c>
      <c r="C60" s="58" t="d">
        <v>2024-11-11</v>
      </c>
      <c r="D60" s="53">
        <v>4</v>
      </c>
      <c r="E60" s="17"/>
      <c r="F60" s="18">
        <v>50.82</v>
      </c>
      <c r="G60" s="36">
        <f>-18*5</f>
        <v>-90</v>
      </c>
      <c r="H60" s="20"/>
      <c r="I60" s="46">
        <f t="shared" si="3"/>
        <v>59138.95</v>
      </c>
      <c r="J60" s="152" t="s">
        <v>51</v>
      </c>
      <c r="K60" s="37">
        <f>I60/SUM($E$11:E60)</f>
        <v>51.967442882249557</v>
      </c>
    </row>
    <row r="61" spans="2:11" ht="16" x14ac:dyDescent="0.2">
      <c r="B61" s="39" t="s">
        <v>141</v>
      </c>
      <c r="C61" s="58" t="d">
        <v>2024-11-11</v>
      </c>
      <c r="D61" s="53">
        <v>4</v>
      </c>
      <c r="E61" s="17"/>
      <c r="F61" s="18">
        <v>50.82</v>
      </c>
      <c r="G61" s="36">
        <f>-18*8</f>
        <v>-144</v>
      </c>
      <c r="H61" s="20"/>
      <c r="I61" s="46">
        <f t="shared" si="3"/>
        <v>58994.95</v>
      </c>
      <c r="J61" s="152" t="s">
        <v>51</v>
      </c>
      <c r="K61" s="37">
        <f>I61/SUM($E$11:E61)</f>
        <v>51.840905096660805</v>
      </c>
    </row>
    <row r="62" spans="2:11" ht="16" x14ac:dyDescent="0.2">
      <c r="B62" s="39" t="s">
        <v>156</v>
      </c>
      <c r="C62" s="58" t="d">
        <v>2024-11-15</v>
      </c>
      <c r="D62" s="53"/>
      <c r="E62" s="17"/>
      <c r="F62" s="18"/>
      <c r="G62" s="36">
        <f>-26*2</f>
        <v>-52</v>
      </c>
      <c r="H62" s="20"/>
      <c r="I62" s="46">
        <f t="shared" si="3"/>
        <v>58942.95</v>
      </c>
      <c r="J62" s="152" t="s">
        <v>51</v>
      </c>
      <c r="K62" s="37">
        <f>I62/SUM($E$11:E62)</f>
        <v>51.795210896309314</v>
      </c>
    </row>
    <row r="63" spans="2:11" ht="16" x14ac:dyDescent="0.2">
      <c r="B63" s="39" t="s">
        <v>157</v>
      </c>
      <c r="C63" s="58" t="d">
        <v>2024-11-19</v>
      </c>
      <c r="D63" s="53"/>
      <c r="E63" s="17"/>
      <c r="F63" s="18"/>
      <c r="G63" s="36">
        <v>-17</v>
      </c>
      <c r="H63" s="20"/>
      <c r="I63" s="46">
        <f t="shared" si="3"/>
        <v>58925.95</v>
      </c>
      <c r="J63" s="152" t="s">
        <v>51</v>
      </c>
      <c r="K63" s="37">
        <f>I63/SUM($E$11:E63)</f>
        <v>51.780272407732859</v>
      </c>
    </row>
    <row r="64" spans="2:11" ht="16" x14ac:dyDescent="0.2">
      <c r="B64" s="39" t="s">
        <v>164</v>
      </c>
      <c r="C64" s="58" t="d">
        <v>2024-11-26</v>
      </c>
      <c r="D64" s="53"/>
      <c r="E64" s="17"/>
      <c r="F64" s="18">
        <v>49.8</v>
      </c>
      <c r="G64" s="36">
        <v>-33</v>
      </c>
      <c r="H64" s="20"/>
      <c r="I64" s="46">
        <f t="shared" si="3"/>
        <v>58892.95</v>
      </c>
      <c r="J64" s="152" t="s">
        <v>52</v>
      </c>
      <c r="K64" s="37">
        <f>I64/SUM($E$11:E64)</f>
        <v>51.751274165202105</v>
      </c>
    </row>
    <row r="65" spans="2:12" ht="16" x14ac:dyDescent="0.2">
      <c r="B65" s="39" t="s">
        <v>183</v>
      </c>
      <c r="C65" s="58" t="d">
        <v>2024-12-04</v>
      </c>
      <c r="D65" s="53"/>
      <c r="E65" s="17"/>
      <c r="F65" s="18"/>
      <c r="G65" s="36">
        <f>-23*2</f>
        <v>-46</v>
      </c>
      <c r="H65" s="20"/>
      <c r="I65" s="46">
        <f t="shared" ref="I65:I94" si="4">I64+G65</f>
        <v>58846.95</v>
      </c>
      <c r="J65" s="152" t="s">
        <v>51</v>
      </c>
      <c r="K65" s="37">
        <f>I65/SUM($E$11:E65)</f>
        <v>51.710852372583474</v>
      </c>
    </row>
    <row r="66" spans="2:12" ht="16" x14ac:dyDescent="0.2">
      <c r="B66" s="39" t="s">
        <v>184</v>
      </c>
      <c r="C66" s="58" t="d">
        <v>2024-12-09</v>
      </c>
      <c r="D66" s="53"/>
      <c r="E66" s="17"/>
      <c r="F66" s="18">
        <v>48.85</v>
      </c>
      <c r="G66" s="36">
        <v>-16</v>
      </c>
      <c r="H66" s="20"/>
      <c r="I66" s="46">
        <f t="shared" si="4"/>
        <v>58830.95</v>
      </c>
      <c r="J66" s="152" t="s">
        <v>51</v>
      </c>
      <c r="K66" s="37">
        <f>I66/SUM($E$11:E66)</f>
        <v>51.696792618629175</v>
      </c>
    </row>
    <row r="67" spans="2:12" ht="16" x14ac:dyDescent="0.2">
      <c r="B67" s="39" t="s">
        <v>192</v>
      </c>
      <c r="C67" s="58" t="d">
        <v>2024-12-16</v>
      </c>
      <c r="D67" s="53"/>
      <c r="E67" s="17"/>
      <c r="F67" s="18"/>
      <c r="G67" s="36">
        <v>-16</v>
      </c>
      <c r="H67" s="20"/>
      <c r="I67" s="46">
        <f t="shared" si="4"/>
        <v>58814.95</v>
      </c>
      <c r="J67" s="152" t="s">
        <v>51</v>
      </c>
      <c r="K67" s="37">
        <f>I67/SUM($E$11:E67)</f>
        <v>51.682732864674868</v>
      </c>
    </row>
    <row r="68" spans="2:12" ht="16" x14ac:dyDescent="0.2">
      <c r="B68" s="39" t="s">
        <v>213</v>
      </c>
      <c r="C68" s="58" t="d">
        <v>2024-12-23</v>
      </c>
      <c r="D68" s="53"/>
      <c r="E68" s="17"/>
      <c r="F68" s="18">
        <v>47.59</v>
      </c>
      <c r="G68" s="36">
        <v>-16</v>
      </c>
      <c r="H68" s="20"/>
      <c r="I68" s="46">
        <f t="shared" si="4"/>
        <v>58798.95</v>
      </c>
      <c r="J68" s="152" t="s">
        <v>51</v>
      </c>
      <c r="K68" s="37">
        <f>I68/SUM($E$11:E68)</f>
        <v>51.668673110720562</v>
      </c>
    </row>
    <row r="69" spans="2:12" ht="16" x14ac:dyDescent="0.2">
      <c r="B69" s="39" t="s">
        <v>228</v>
      </c>
      <c r="C69" s="58" t="d">
        <v>2025-01-13</v>
      </c>
      <c r="D69" s="53"/>
      <c r="E69" s="17"/>
      <c r="F69" s="18"/>
      <c r="G69" s="36">
        <f>-23*6</f>
        <v>-138</v>
      </c>
      <c r="H69" s="20"/>
      <c r="I69" s="46">
        <f t="shared" si="4"/>
        <v>58660.95</v>
      </c>
      <c r="J69" s="152" t="s">
        <v>51</v>
      </c>
      <c r="K69" s="37">
        <f>I69/SUM($E$11:E69)</f>
        <v>51.54740773286467</v>
      </c>
    </row>
    <row r="70" spans="2:12" ht="16" x14ac:dyDescent="0.2">
      <c r="B70" s="39" t="s">
        <v>251</v>
      </c>
      <c r="C70" s="58" t="d">
        <v>2025-01-23</v>
      </c>
      <c r="D70" s="53"/>
      <c r="E70" s="17"/>
      <c r="F70" s="18"/>
      <c r="G70" s="36">
        <f>-25*5</f>
        <v>-125</v>
      </c>
      <c r="H70" s="20"/>
      <c r="I70" s="46">
        <f t="shared" si="4"/>
        <v>58535.95</v>
      </c>
      <c r="J70" s="152" t="s">
        <v>51</v>
      </c>
      <c r="K70" s="37">
        <f>I70/SUM($E$11:E70)</f>
        <v>51.437565905096655</v>
      </c>
    </row>
    <row r="71" spans="2:12" ht="16" x14ac:dyDescent="0.2">
      <c r="B71" s="39" t="s">
        <v>254</v>
      </c>
      <c r="C71" s="58" t="d">
        <v>2025-01-24</v>
      </c>
      <c r="D71" s="53"/>
      <c r="E71" s="17"/>
      <c r="F71" s="18"/>
      <c r="G71" s="36">
        <v>-27</v>
      </c>
      <c r="H71" s="20"/>
      <c r="I71" s="46">
        <f t="shared" si="4"/>
        <v>58508.95</v>
      </c>
      <c r="J71" s="152" t="s">
        <v>266</v>
      </c>
      <c r="K71" s="37">
        <f>I71/SUM($E$11:E71)</f>
        <v>51.413840070298768</v>
      </c>
      <c r="L71" t="s">
        <v>259</v>
      </c>
    </row>
    <row r="72" spans="2:12" ht="32" x14ac:dyDescent="0.2">
      <c r="B72" s="39" t="s">
        <v>272</v>
      </c>
      <c r="C72" s="58" t="d">
        <v>2025-01-31</v>
      </c>
      <c r="D72" s="53"/>
      <c r="E72" s="17"/>
      <c r="F72" s="18"/>
      <c r="G72" s="36">
        <v>-13</v>
      </c>
      <c r="H72" s="20"/>
      <c r="I72" s="46">
        <f t="shared" si="4"/>
        <v>58495.95</v>
      </c>
      <c r="J72" s="152" t="s">
        <v>266</v>
      </c>
      <c r="K72" s="37">
        <f>I72/SUM($E$11:E72)</f>
        <v>51.402416520210892</v>
      </c>
    </row>
    <row r="73" spans="2:12" ht="16" x14ac:dyDescent="0.2">
      <c r="B73" s="39" t="s">
        <v>273</v>
      </c>
      <c r="C73" s="58" t="d">
        <v>2025-02-03</v>
      </c>
      <c r="D73" s="53"/>
      <c r="E73" s="17"/>
      <c r="F73" s="18"/>
      <c r="G73" s="36">
        <v>-13</v>
      </c>
      <c r="H73" s="20"/>
      <c r="I73" s="46"/>
      <c r="J73" s="152" t="s">
        <v>51</v>
      </c>
      <c r="K73" s="37"/>
    </row>
    <row r="74" spans="2:12" ht="32" x14ac:dyDescent="0.2">
      <c r="B74" s="39" t="s">
        <v>275</v>
      </c>
      <c r="C74" s="58" t="d">
        <v>2025-02-06</v>
      </c>
      <c r="D74" s="53"/>
      <c r="E74" s="17"/>
      <c r="F74" s="18"/>
      <c r="G74" s="36">
        <v>-8</v>
      </c>
      <c r="H74" s="20"/>
      <c r="I74" s="46"/>
      <c r="J74" s="152" t="s">
        <v>266</v>
      </c>
      <c r="K74" s="37"/>
    </row>
    <row r="75" spans="2:12" ht="16" x14ac:dyDescent="0.2">
      <c r="B75" s="39" t="s">
        <v>265</v>
      </c>
      <c r="C75" s="58" t="d">
        <v>2025-02-11</v>
      </c>
      <c r="D75" s="53"/>
      <c r="E75" s="17"/>
      <c r="F75" s="18"/>
      <c r="G75" s="36">
        <f>-9*5</f>
        <v>-45</v>
      </c>
      <c r="H75" s="20"/>
      <c r="I75" s="46">
        <f>I72+G75</f>
        <v>58450.95</v>
      </c>
      <c r="J75" s="152" t="s">
        <v>51</v>
      </c>
      <c r="K75" s="37">
        <f>I75/SUM($E$11:E75)</f>
        <v>51.362873462214409</v>
      </c>
    </row>
    <row r="76" spans="2:12" ht="16" x14ac:dyDescent="0.2">
      <c r="B76" s="39" t="s">
        <v>274</v>
      </c>
      <c r="C76" s="58" t="d">
        <v>2025-02-11</v>
      </c>
      <c r="D76" s="53"/>
      <c r="E76" s="17"/>
      <c r="F76" s="18"/>
      <c r="G76" s="36">
        <f>-17*4</f>
        <v>-68</v>
      </c>
      <c r="H76" s="20"/>
      <c r="I76" s="46">
        <f t="shared" si="4"/>
        <v>58382.95</v>
      </c>
      <c r="J76" s="152" t="s">
        <v>51</v>
      </c>
      <c r="K76" s="37">
        <f>I76/SUM($E$11:E76)</f>
        <v>51.303119507908612</v>
      </c>
    </row>
    <row r="77" spans="2:12" ht="32" x14ac:dyDescent="0.2">
      <c r="B77" s="39" t="s">
        <v>288</v>
      </c>
      <c r="C77" s="58" t="d">
        <v>2025-02-12</v>
      </c>
      <c r="D77" s="53"/>
      <c r="E77" s="17"/>
      <c r="F77" s="18"/>
      <c r="G77" s="36">
        <v>-41</v>
      </c>
      <c r="H77" s="20"/>
      <c r="I77" s="46">
        <f t="shared" si="4"/>
        <v>58341.95</v>
      </c>
      <c r="J77" s="152" t="s">
        <v>266</v>
      </c>
      <c r="K77" s="37">
        <f>I77/SUM($E$11:E77)</f>
        <v>51.267091388400701</v>
      </c>
    </row>
    <row r="78" spans="2:12" ht="16" x14ac:dyDescent="0.2">
      <c r="B78" s="39" t="s">
        <v>289</v>
      </c>
      <c r="C78" s="58" t="d">
        <v>2025-02-25</v>
      </c>
      <c r="D78" s="53"/>
      <c r="E78" s="17"/>
      <c r="F78" s="18"/>
      <c r="G78" s="36">
        <f>-13*5</f>
        <v>-65</v>
      </c>
      <c r="H78" s="20"/>
      <c r="I78" s="46">
        <f t="shared" si="4"/>
        <v>58276.95</v>
      </c>
      <c r="J78" s="152" t="s">
        <v>51</v>
      </c>
      <c r="K78" s="37">
        <f>I78/SUM($E$11:E78)</f>
        <v>51.209973637961333</v>
      </c>
    </row>
    <row r="79" spans="2:12" ht="32" x14ac:dyDescent="0.2">
      <c r="B79" s="39" t="s">
        <v>317</v>
      </c>
      <c r="C79" s="58" t="d">
        <v>2025-03-13</v>
      </c>
      <c r="D79" s="53"/>
      <c r="E79" s="17"/>
      <c r="F79" s="18"/>
      <c r="G79" s="36">
        <v>-12</v>
      </c>
      <c r="H79" s="20"/>
      <c r="I79" s="46">
        <f t="shared" si="4"/>
        <v>58264.95</v>
      </c>
      <c r="J79" s="152" t="s">
        <v>266</v>
      </c>
      <c r="K79" s="37">
        <f>I79/SUM($E$11:E79)</f>
        <v>51.199428822495605</v>
      </c>
    </row>
    <row r="80" spans="2:12" ht="16" x14ac:dyDescent="0.2">
      <c r="B80" s="39" t="s">
        <v>321</v>
      </c>
      <c r="C80" s="58" t="d">
        <v>2025-04-01</v>
      </c>
      <c r="D80" s="53"/>
      <c r="E80" s="17"/>
      <c r="F80" s="18"/>
      <c r="G80" s="36">
        <f>-49*6</f>
        <v>-294</v>
      </c>
      <c r="H80" s="20"/>
      <c r="I80" s="46">
        <f t="shared" si="4"/>
        <v>57970.95</v>
      </c>
      <c r="J80" s="152" t="s">
        <v>51</v>
      </c>
      <c r="K80" s="37">
        <f>I80/SUM($E$11:E80)</f>
        <v>50.941080843585233</v>
      </c>
    </row>
    <row r="81" spans="2:11" ht="32" x14ac:dyDescent="0.2">
      <c r="B81" s="39" t="s">
        <v>322</v>
      </c>
      <c r="C81" s="58" t="d">
        <v>2025-04-01</v>
      </c>
      <c r="D81" s="53"/>
      <c r="E81" s="17"/>
      <c r="F81" s="18"/>
      <c r="G81" s="36">
        <v>-3</v>
      </c>
      <c r="H81" s="20"/>
      <c r="I81" s="46">
        <f t="shared" si="4"/>
        <v>57967.95</v>
      </c>
      <c r="J81" s="152" t="s">
        <v>266</v>
      </c>
      <c r="K81" s="37">
        <f>I81/SUM($E$11:E81)</f>
        <v>50.938444639718803</v>
      </c>
    </row>
    <row r="82" spans="2:11" ht="32" x14ac:dyDescent="0.2">
      <c r="B82" s="39" t="s">
        <v>332</v>
      </c>
      <c r="C82" s="58" t="d">
        <v>2025-04-08</v>
      </c>
      <c r="D82" s="53"/>
      <c r="E82" s="17"/>
      <c r="F82" s="18"/>
      <c r="G82" s="36">
        <v>-34</v>
      </c>
      <c r="H82" s="20"/>
      <c r="I82" s="46">
        <f t="shared" si="4"/>
        <v>57933.95</v>
      </c>
      <c r="J82" s="152"/>
      <c r="K82" s="37">
        <f>I82/SUM($E$11:E82)</f>
        <v>50.9085676625659</v>
      </c>
    </row>
    <row r="83" spans="2:11" ht="16" x14ac:dyDescent="0.2">
      <c r="B83" s="39" t="s">
        <v>333</v>
      </c>
      <c r="C83" s="58" t="d">
        <v>2025-04-15</v>
      </c>
      <c r="D83" s="53"/>
      <c r="E83" s="17"/>
      <c r="F83" s="18"/>
      <c r="G83" s="36">
        <f>-45*3</f>
        <v>-135</v>
      </c>
      <c r="H83" s="20"/>
      <c r="I83" s="46">
        <f t="shared" si="4"/>
        <v>57798.95</v>
      </c>
      <c r="J83" s="152" t="s">
        <v>266</v>
      </c>
      <c r="K83" s="37">
        <f>I83/SUM($E$11:E83)</f>
        <v>50.789938488576446</v>
      </c>
    </row>
    <row r="84" spans="2:11" ht="32" x14ac:dyDescent="0.2">
      <c r="B84" s="39" t="s">
        <v>425</v>
      </c>
      <c r="C84" s="58" t="d">
        <v>2025-04-22</v>
      </c>
      <c r="D84" s="53"/>
      <c r="E84" s="17"/>
      <c r="F84" s="18"/>
      <c r="G84" s="36">
        <v>9</v>
      </c>
      <c r="H84" s="20"/>
      <c r="I84" s="46">
        <f t="shared" si="4"/>
        <v>57807.95</v>
      </c>
      <c r="J84" s="152" t="s">
        <v>266</v>
      </c>
      <c r="K84" s="37">
        <f>I84/SUM($E$11:E84)</f>
        <v>50.797847100175744</v>
      </c>
    </row>
    <row r="85" spans="2:11" ht="32" x14ac:dyDescent="0.2">
      <c r="B85" s="39" t="s">
        <v>443</v>
      </c>
      <c r="C85" s="58" t="d">
        <v>2025-05-13</v>
      </c>
      <c r="D85" s="53"/>
      <c r="E85" s="17"/>
      <c r="F85" s="18"/>
      <c r="G85" s="36">
        <f>-37*3</f>
        <v>-111</v>
      </c>
      <c r="H85" s="20"/>
      <c r="I85" s="46">
        <f t="shared" si="4"/>
        <v>57696.95</v>
      </c>
      <c r="J85" s="152"/>
      <c r="K85" s="37">
        <f>I85/SUM($E$11:E85)</f>
        <v>50.700307557117746</v>
      </c>
    </row>
    <row r="86" spans="2:11" x14ac:dyDescent="0.2">
      <c r="B86" s="39"/>
      <c r="C86" s="58"/>
      <c r="D86" s="53"/>
      <c r="E86" s="17"/>
      <c r="F86" s="18"/>
      <c r="G86" s="36"/>
      <c r="H86" s="20"/>
      <c r="I86" s="46">
        <f t="shared" si="4"/>
        <v>57696.95</v>
      </c>
      <c r="J86" s="152"/>
      <c r="K86" s="37">
        <f>I86/SUM($E$11:E86)</f>
        <v>50.700307557117746</v>
      </c>
    </row>
    <row r="87" spans="2:11" x14ac:dyDescent="0.2">
      <c r="B87" s="39"/>
      <c r="C87" s="58"/>
      <c r="D87" s="53"/>
      <c r="E87" s="17"/>
      <c r="F87" s="18"/>
      <c r="G87" s="36"/>
      <c r="H87" s="20"/>
      <c r="I87" s="46">
        <f t="shared" si="4"/>
        <v>57696.95</v>
      </c>
      <c r="J87" s="152"/>
      <c r="K87" s="37">
        <f>I87/SUM($E$11:E87)</f>
        <v>50.700307557117746</v>
      </c>
    </row>
    <row r="88" spans="2:11" x14ac:dyDescent="0.2">
      <c r="B88" s="39"/>
      <c r="C88" s="58"/>
      <c r="D88" s="53"/>
      <c r="E88" s="17"/>
      <c r="F88" s="18"/>
      <c r="G88" s="36"/>
      <c r="H88" s="20"/>
      <c r="I88" s="46">
        <f t="shared" si="4"/>
        <v>57696.95</v>
      </c>
      <c r="J88" s="152"/>
      <c r="K88" s="37">
        <f>I88/SUM($E$11:E88)</f>
        <v>50.700307557117746</v>
      </c>
    </row>
    <row r="89" spans="2:11" x14ac:dyDescent="0.2">
      <c r="B89" s="39"/>
      <c r="C89" s="58"/>
      <c r="D89" s="53"/>
      <c r="E89" s="17"/>
      <c r="F89" s="18"/>
      <c r="G89" s="36"/>
      <c r="H89" s="20"/>
      <c r="I89" s="46">
        <f t="shared" si="4"/>
        <v>57696.95</v>
      </c>
      <c r="J89" s="152"/>
      <c r="K89" s="37">
        <f>I89/SUM($E$11:E89)</f>
        <v>50.700307557117746</v>
      </c>
    </row>
    <row r="90" spans="2:11" x14ac:dyDescent="0.2">
      <c r="B90" s="39"/>
      <c r="C90" s="58"/>
      <c r="D90" s="53"/>
      <c r="E90" s="17"/>
      <c r="F90" s="18"/>
      <c r="G90" s="36"/>
      <c r="H90" s="20"/>
      <c r="I90" s="46">
        <f t="shared" si="4"/>
        <v>57696.95</v>
      </c>
      <c r="J90" s="152"/>
      <c r="K90" s="37">
        <f>I90/SUM($E$11:E90)</f>
        <v>50.700307557117746</v>
      </c>
    </row>
    <row r="91" spans="2:11" x14ac:dyDescent="0.2">
      <c r="B91" s="39"/>
      <c r="C91" s="58"/>
      <c r="D91" s="53"/>
      <c r="E91" s="17"/>
      <c r="F91" s="18"/>
      <c r="G91" s="36"/>
      <c r="H91" s="20"/>
      <c r="I91" s="46">
        <f t="shared" si="4"/>
        <v>57696.95</v>
      </c>
      <c r="J91" s="152"/>
      <c r="K91" s="37">
        <f>I91/SUM($E$11:E91)</f>
        <v>50.700307557117746</v>
      </c>
    </row>
    <row r="92" spans="2:11" x14ac:dyDescent="0.2">
      <c r="B92" s="39"/>
      <c r="C92" s="58"/>
      <c r="D92" s="53"/>
      <c r="E92" s="17"/>
      <c r="F92" s="18"/>
      <c r="G92" s="36"/>
      <c r="H92" s="20"/>
      <c r="I92" s="46">
        <f t="shared" si="4"/>
        <v>57696.95</v>
      </c>
      <c r="J92" s="152"/>
      <c r="K92" s="37">
        <f>I92/SUM($E$11:E92)</f>
        <v>50.700307557117746</v>
      </c>
    </row>
    <row r="93" spans="2:11" x14ac:dyDescent="0.2">
      <c r="B93" s="39"/>
      <c r="C93" s="58"/>
      <c r="D93" s="53"/>
      <c r="E93" s="17"/>
      <c r="F93" s="18"/>
      <c r="G93" s="36"/>
      <c r="H93" s="20"/>
      <c r="I93" s="46">
        <f t="shared" si="4"/>
        <v>57696.95</v>
      </c>
      <c r="J93" s="152"/>
      <c r="K93" s="37">
        <f>I93/SUM($E$11:E93)</f>
        <v>50.700307557117746</v>
      </c>
    </row>
    <row r="94" spans="2:11" x14ac:dyDescent="0.2">
      <c r="B94" s="39"/>
      <c r="C94" s="58"/>
      <c r="D94" s="53"/>
      <c r="E94" s="17"/>
      <c r="F94" s="18"/>
      <c r="G94" s="36"/>
      <c r="H94" s="20"/>
      <c r="I94" s="46">
        <f t="shared" si="4"/>
        <v>57696.95</v>
      </c>
      <c r="J94" s="152"/>
      <c r="K94" s="37">
        <f>I94/SUM($E$11:E94)</f>
        <v>50.700307557117746</v>
      </c>
    </row>
    <row r="95" spans="2:11" x14ac:dyDescent="0.2">
      <c r="B95" s="39"/>
      <c r="C95" s="58"/>
      <c r="D95" s="53"/>
      <c r="E95" s="17"/>
      <c r="F95" s="18"/>
      <c r="G95" s="36"/>
      <c r="H95" s="20"/>
      <c r="I95" s="46">
        <f>I64+G95</f>
        <v>58892.95</v>
      </c>
      <c r="J95" s="152"/>
      <c r="K95" s="37">
        <f>I95/SUM($E$11:E95)</f>
        <v>51.751274165202105</v>
      </c>
    </row>
    <row r="96" spans="2:11" x14ac:dyDescent="0.2">
      <c r="B96" s="39"/>
      <c r="C96" s="58"/>
      <c r="D96" s="53"/>
      <c r="E96" s="17"/>
      <c r="F96" s="18"/>
      <c r="G96" s="36"/>
      <c r="H96" s="20"/>
      <c r="I96" s="46">
        <f t="shared" ref="I96:I101" si="5">I95+G96</f>
        <v>58892.95</v>
      </c>
      <c r="J96" s="152"/>
      <c r="K96" s="37">
        <f>I96/SUM($E$11:E96)</f>
        <v>51.751274165202105</v>
      </c>
    </row>
    <row r="97" spans="2:11" x14ac:dyDescent="0.2">
      <c r="B97" s="39"/>
      <c r="C97" s="58"/>
      <c r="D97" s="53"/>
      <c r="E97" s="17"/>
      <c r="F97" s="18"/>
      <c r="G97" s="36"/>
      <c r="H97" s="20"/>
      <c r="I97" s="46">
        <f t="shared" si="5"/>
        <v>58892.95</v>
      </c>
      <c r="J97" s="152"/>
      <c r="K97" s="37">
        <f>I97/SUM($E$11:E97)</f>
        <v>51.751274165202105</v>
      </c>
    </row>
    <row r="98" spans="2:11" x14ac:dyDescent="0.2">
      <c r="B98" s="39"/>
      <c r="C98" s="58"/>
      <c r="D98" s="53"/>
      <c r="E98" s="17"/>
      <c r="F98" s="18"/>
      <c r="G98" s="36"/>
      <c r="H98" s="20"/>
      <c r="I98" s="46">
        <f t="shared" si="5"/>
        <v>58892.95</v>
      </c>
      <c r="J98" s="152"/>
      <c r="K98" s="37">
        <f>I98/SUM($E$11:E98)</f>
        <v>51.751274165202105</v>
      </c>
    </row>
    <row r="99" spans="2:11" x14ac:dyDescent="0.2">
      <c r="B99" s="39"/>
      <c r="C99" s="58"/>
      <c r="D99" s="53"/>
      <c r="E99" s="17"/>
      <c r="F99" s="18"/>
      <c r="G99" s="36"/>
      <c r="H99" s="20"/>
      <c r="I99" s="46">
        <f t="shared" si="5"/>
        <v>58892.95</v>
      </c>
      <c r="J99" s="152"/>
      <c r="K99" s="37">
        <f>I99/SUM($E$11:E99)</f>
        <v>51.751274165202105</v>
      </c>
    </row>
    <row r="100" spans="2:11" x14ac:dyDescent="0.2">
      <c r="B100" s="39"/>
      <c r="C100" s="58"/>
      <c r="D100" s="53"/>
      <c r="E100" s="17"/>
      <c r="F100" s="18"/>
      <c r="G100" s="36"/>
      <c r="H100" s="20"/>
      <c r="I100" s="46">
        <f t="shared" si="5"/>
        <v>58892.95</v>
      </c>
      <c r="J100" s="152"/>
      <c r="K100" s="37">
        <f>I100/SUM($E$11:E100)</f>
        <v>51.751274165202105</v>
      </c>
    </row>
    <row r="101" spans="2:11" x14ac:dyDescent="0.2">
      <c r="B101" s="39"/>
      <c r="C101" s="58"/>
      <c r="D101" s="53"/>
      <c r="E101" s="17"/>
      <c r="F101" s="18"/>
      <c r="G101" s="36"/>
      <c r="H101" s="20"/>
      <c r="I101" s="46">
        <f t="shared" si="5"/>
        <v>58892.95</v>
      </c>
      <c r="J101" s="152"/>
      <c r="K101" s="37">
        <f>I101/SUM($E$11:E101)</f>
        <v>51.751274165202105</v>
      </c>
    </row>
    <row r="102" spans="2:11" ht="19" x14ac:dyDescent="0.25">
      <c r="B102" s="39"/>
      <c r="C102" s="58"/>
      <c r="D102" s="53"/>
      <c r="E102" s="129"/>
      <c r="F102" s="24"/>
      <c r="G102" s="137">
        <f>SUM(G43:G101)</f>
        <v>-3134</v>
      </c>
      <c r="H102" s="20"/>
      <c r="I102" s="19"/>
      <c r="J102" s="31"/>
      <c r="K102" s="136">
        <f>I102/3400</f>
        <v>0</v>
      </c>
    </row>
    <row r="103" spans="2:11" ht="4.75" customHeight="1" x14ac:dyDescent="0.2">
      <c r="B103" s="39"/>
      <c r="C103" s="58"/>
      <c r="D103" s="53"/>
      <c r="E103" s="17"/>
      <c r="F103" s="18"/>
      <c r="G103" s="19"/>
      <c r="H103" s="20"/>
      <c r="I103" s="20"/>
      <c r="J103" s="31"/>
      <c r="K103" s="17"/>
    </row>
    <row r="104" spans="2:11" ht="14.5" customHeight="1" x14ac:dyDescent="0.2">
      <c r="B104" s="39"/>
      <c r="C104" s="58"/>
      <c r="D104" s="53"/>
      <c r="H104" s="20"/>
      <c r="I104" s="20"/>
      <c r="J104" s="31"/>
      <c r="K104" s="17"/>
    </row>
    <row r="105" spans="2:11" x14ac:dyDescent="0.2">
      <c r="D105" s="45"/>
    </row>
    <row r="106" spans="2:11" x14ac:dyDescent="0.2">
      <c r="D106" s="45"/>
    </row>
    <row r="107" spans="2:11" x14ac:dyDescent="0.2">
      <c r="D107" s="45"/>
    </row>
    <row r="108" spans="2:11" x14ac:dyDescent="0.2">
      <c r="D108" s="45"/>
    </row>
  </sheetData>
  <mergeCells count="1">
    <mergeCell ref="B8:G8"/>
  </mergeCells>
  <phoneticPr fontId="11" type="noConversion"/>
  <conditionalFormatting sqref="B43:B101">
    <cfRule type="expression" dxfId="196" priority="1" stopIfTrue="1">
      <formula>J43="ROLL"</formula>
    </cfRule>
    <cfRule type="expression" dxfId="195" priority="2" stopIfTrue="1">
      <formula>AND(ISNUMBER(SEARCH("call", B43)), J43="expired")</formula>
    </cfRule>
    <cfRule type="expression" dxfId="194" priority="3" stopIfTrue="1">
      <formula>AND(ISNUMBER(SEARCH("call", B43)), J43="assigned")</formula>
    </cfRule>
    <cfRule type="expression" dxfId="193" priority="4" stopIfTrue="1">
      <formula>J43="assigned"</formula>
    </cfRule>
    <cfRule type="expression" dxfId="192" priority="5">
      <formula>J43="expired"</formula>
    </cfRule>
  </conditionalFormatting>
  <pageMargins left="0.7" right="0.7" top="0.75" bottom="0.75" header="0.3" footer="0.3"/>
  <pageSetup paperSize="0" orientation="portrait" r:id="rId1"/>
</worksheet>
</file>

<file path=xl/worksheets/sheet3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8BC3-4694-264E-91F9-0CAF446CF182}">
  <sheetPr codeName="Sheet49"/>
  <dimension ref="B1:N79"/>
  <sheetViews>
    <sheetView topLeftCell="A13" zoomScale="120" zoomScaleNormal="120" workbookViewId="0">
      <selection activeCell="B3" sqref="B3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21</v>
      </c>
      <c r="C1" s="197"/>
    </row>
    <row r="2" spans="2:14" x14ac:dyDescent="0.2">
      <c r="B2" s="1" t="s">
        <v>426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-79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113</v>
      </c>
      <c r="C41" s="16" t="d">
        <v>2024-03-20</v>
      </c>
      <c r="D41" s="16"/>
      <c r="E41" s="155"/>
      <c r="F41" s="21"/>
      <c r="G41" s="36">
        <v>-20</v>
      </c>
      <c r="H41" s="20"/>
      <c r="I41" s="36">
        <f>I13+G41</f>
        <v>-20</v>
      </c>
      <c r="J41" s="31" t="s">
        <v>10</v>
      </c>
      <c r="K41" s="36" t="e">
        <f>I41/SUM($E$11:E41)</f>
        <v>#DIV/0!</v>
      </c>
    </row>
    <row r="42" spans="2:11" ht="16" x14ac:dyDescent="0.2">
      <c r="B42" s="39" t="s">
        <v>112</v>
      </c>
      <c r="C42" s="16" t="d">
        <v>2024-07-01</v>
      </c>
      <c r="D42" s="16"/>
      <c r="E42" s="155"/>
      <c r="F42" s="21"/>
      <c r="G42" s="36">
        <v>-23</v>
      </c>
      <c r="H42" s="17"/>
      <c r="I42" s="36">
        <f t="shared" ref="I42:I76" si="2">I41+G42</f>
        <v>-43</v>
      </c>
      <c r="J42" s="31" t="s">
        <v>10</v>
      </c>
      <c r="K42" s="36" t="e">
        <f>I42/SUM($E$11:E42)</f>
        <v>#DIV/0!</v>
      </c>
    </row>
    <row r="43" spans="2:11" ht="16" x14ac:dyDescent="0.2">
      <c r="B43" s="67" t="s">
        <v>111</v>
      </c>
      <c r="C43" s="16" t="d">
        <v>2024-10-30</v>
      </c>
      <c r="D43" s="16"/>
      <c r="E43" s="155"/>
      <c r="G43" s="36">
        <v>-36</v>
      </c>
      <c r="H43" s="17"/>
      <c r="I43" s="36">
        <f t="shared" si="2"/>
        <v>-79</v>
      </c>
      <c r="J43" s="31" t="s">
        <v>10</v>
      </c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-79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-79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-79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-79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-79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-79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-79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-79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-79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-79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-79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-79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-79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-79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-79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-79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-79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-79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-79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-79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-79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-79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-79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-79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-79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-79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-79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-79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-79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-79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-79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-79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-79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-79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191" priority="8" stopIfTrue="1">
      <formula>J77="assigned"</formula>
    </cfRule>
    <cfRule type="expression" dxfId="190" priority="9">
      <formula>J77="expired"</formula>
    </cfRule>
  </conditionalFormatting>
  <conditionalFormatting sqref="B77:B116">
    <cfRule type="expression" dxfId="189" priority="6">
      <formula>AND(ISNUMBER(SEARCH("call", B77)), J77="expired")</formula>
    </cfRule>
    <cfRule type="expression" dxfId="188" priority="7">
      <formula>AND(ISNUMBER(SEARCH("call", B77)), J77="assigned")</formula>
    </cfRule>
  </conditionalFormatting>
  <conditionalFormatting sqref="B41:B76">
    <cfRule type="expression" dxfId="187" priority="1" stopIfTrue="1">
      <formula>J41="ROLL"</formula>
    </cfRule>
    <cfRule type="expression" dxfId="186" priority="2" stopIfTrue="1">
      <formula>AND(ISNUMBER(SEARCH("call", B41)), J41="expired")</formula>
    </cfRule>
    <cfRule type="expression" dxfId="185" priority="3" stopIfTrue="1">
      <formula>AND(ISNUMBER(SEARCH("call", B41)), J41="assigned")</formula>
    </cfRule>
    <cfRule type="expression" dxfId="184" priority="4" stopIfTrue="1">
      <formula>J41="assigned"</formula>
    </cfRule>
    <cfRule type="expression" dxfId="183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3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CE76-79ED-7A4E-A057-947A68EBA25A}">
  <sheetPr codeName="Sheet64"/>
  <dimension ref="B1:O79"/>
  <sheetViews>
    <sheetView zoomScale="120" zoomScaleNormal="120" workbookViewId="0">
      <selection activeCell="O36" sqref="O36"/>
    </sheetView>
  </sheetViews>
  <sheetFormatPr baseColWidth="10" defaultColWidth="8.83203125" defaultRowHeight="15" x14ac:dyDescent="0.2"/>
  <cols>
    <col min="1" max="1" width="6" customWidth="1"/>
    <col min="2" max="2" width="36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10.33203125" customWidth="1"/>
    <col min="9" max="9" width="3.5" customWidth="1"/>
    <col min="10" max="10" width="11.83203125" customWidth="1"/>
    <col min="11" max="11" width="19" style="29" customWidth="1"/>
    <col min="12" max="12" width="10" style="2" customWidth="1"/>
    <col min="15" max="15" width="12.6640625" bestFit="1" customWidth="1"/>
  </cols>
  <sheetData>
    <row r="1" spans="2:15" ht="29" customHeight="1" x14ac:dyDescent="0.2">
      <c r="B1" s="197" t="s">
        <v>621</v>
      </c>
      <c r="C1" s="197"/>
    </row>
    <row r="2" spans="2:15" x14ac:dyDescent="0.2">
      <c r="B2" s="1" t="s">
        <v>622</v>
      </c>
      <c r="C2" s="56"/>
      <c r="D2" s="2"/>
      <c r="F2" s="3"/>
      <c r="G2" s="4"/>
      <c r="H2" s="4"/>
    </row>
    <row r="3" spans="2:15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150.87</v>
      </c>
      <c r="H3" s="8"/>
      <c r="J3" t="s">
        <v>279</v>
      </c>
      <c r="K3" s="30">
        <v>28.99</v>
      </c>
      <c r="L3" s="6"/>
    </row>
    <row r="4" spans="2:15" x14ac:dyDescent="0.2">
      <c r="B4" s="1"/>
      <c r="C4" s="56"/>
      <c r="D4" s="2"/>
      <c r="F4" s="3" t="s">
        <v>2</v>
      </c>
      <c r="G4" s="9">
        <f>SUM(E11:E37)</f>
        <v>200</v>
      </c>
      <c r="H4" s="9"/>
    </row>
    <row r="5" spans="2:15" x14ac:dyDescent="0.2">
      <c r="C5" s="56"/>
      <c r="D5" s="2"/>
      <c r="F5" s="3"/>
      <c r="G5" s="4"/>
      <c r="H5" s="4"/>
    </row>
    <row r="6" spans="2:15" x14ac:dyDescent="0.2">
      <c r="B6" s="15"/>
      <c r="C6" s="58"/>
      <c r="D6" s="17"/>
      <c r="E6" s="155"/>
      <c r="F6" s="18"/>
      <c r="G6" s="19"/>
      <c r="H6" s="19"/>
      <c r="I6" s="20"/>
      <c r="J6" s="20"/>
      <c r="K6" s="31"/>
      <c r="L6" s="17"/>
    </row>
    <row r="7" spans="2:15" ht="6" customHeight="1" x14ac:dyDescent="0.2">
      <c r="B7" s="15"/>
      <c r="C7" s="58"/>
      <c r="D7" s="17"/>
      <c r="E7" s="155"/>
      <c r="F7" s="18"/>
      <c r="G7" s="19"/>
      <c r="H7" s="19"/>
      <c r="I7" s="20"/>
      <c r="J7" s="20"/>
      <c r="K7" s="31"/>
      <c r="L7" s="17"/>
    </row>
    <row r="8" spans="2:15" s="26" customFormat="1" ht="12" x14ac:dyDescent="0.15">
      <c r="B8" s="198" t="s">
        <v>3</v>
      </c>
      <c r="C8" s="198"/>
      <c r="D8" s="198"/>
      <c r="E8" s="198"/>
      <c r="F8" s="198"/>
      <c r="G8" s="198"/>
      <c r="H8" s="166"/>
      <c r="I8" s="27"/>
      <c r="J8" s="28"/>
      <c r="K8" s="32"/>
      <c r="L8" s="28"/>
    </row>
    <row r="9" spans="2:15" s="153" customFormat="1" ht="32" x14ac:dyDescent="0.2">
      <c r="B9" s="156" t="s">
        <v>11</v>
      </c>
      <c r="C9" s="173" t="s">
        <v>6</v>
      </c>
      <c r="D9" s="156" t="s">
        <v>39</v>
      </c>
      <c r="E9" s="156" t="s">
        <v>2</v>
      </c>
      <c r="F9" s="174" t="s">
        <v>7</v>
      </c>
      <c r="G9" s="175" t="s">
        <v>8</v>
      </c>
      <c r="H9" s="176" t="s">
        <v>583</v>
      </c>
      <c r="I9" s="156"/>
      <c r="J9" s="156" t="s">
        <v>4</v>
      </c>
      <c r="K9" s="177"/>
      <c r="L9" s="156" t="s">
        <v>5</v>
      </c>
    </row>
    <row r="10" spans="2:15" ht="5.5" customHeight="1" x14ac:dyDescent="0.2">
      <c r="B10" s="12"/>
      <c r="C10" s="59"/>
      <c r="D10" s="11"/>
      <c r="E10" s="156"/>
      <c r="F10" s="13"/>
      <c r="G10" s="14"/>
      <c r="H10" s="14"/>
      <c r="I10" s="11"/>
      <c r="J10" s="11"/>
      <c r="K10" s="33"/>
      <c r="L10" s="11"/>
    </row>
    <row r="11" spans="2:15" x14ac:dyDescent="0.2">
      <c r="B11" s="15"/>
      <c r="C11" s="58"/>
      <c r="D11" s="16"/>
      <c r="E11" s="157">
        <v>100</v>
      </c>
      <c r="F11" s="21">
        <v>160</v>
      </c>
      <c r="G11" s="44">
        <f>E11*F11</f>
        <v>16000</v>
      </c>
      <c r="H11" s="44"/>
      <c r="I11" s="20"/>
      <c r="J11" s="36">
        <f>G11</f>
        <v>16000</v>
      </c>
      <c r="K11" s="31"/>
      <c r="L11" s="36">
        <f>J11/E11</f>
        <v>160</v>
      </c>
    </row>
    <row r="12" spans="2:15" x14ac:dyDescent="0.2">
      <c r="B12" s="15"/>
      <c r="C12" s="58"/>
      <c r="D12" s="16"/>
      <c r="E12" s="157">
        <v>100</v>
      </c>
      <c r="F12" s="21">
        <v>145</v>
      </c>
      <c r="G12" s="44">
        <f>E12*F12</f>
        <v>14500</v>
      </c>
      <c r="H12" s="44"/>
      <c r="I12" s="20"/>
      <c r="J12" s="36">
        <f>J11+G12</f>
        <v>30500</v>
      </c>
      <c r="K12" s="31"/>
      <c r="L12" s="36">
        <f>J12/SUM($E$11:E12)</f>
        <v>152.5</v>
      </c>
      <c r="O12" s="144" t="s">
        <v>268</v>
      </c>
    </row>
    <row r="13" spans="2:15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44"/>
      <c r="I13" s="20"/>
      <c r="J13" s="36">
        <f>J12+G13</f>
        <v>30500</v>
      </c>
      <c r="K13" s="31"/>
      <c r="L13" s="36">
        <f>J13/SUM($E$11:E13)</f>
        <v>152.5</v>
      </c>
      <c r="O13" s="143" t="s">
        <v>269</v>
      </c>
    </row>
    <row r="14" spans="2:15" x14ac:dyDescent="0.2">
      <c r="B14" s="15"/>
      <c r="C14" s="58"/>
      <c r="D14" s="16"/>
      <c r="E14" s="157"/>
      <c r="F14" s="21"/>
      <c r="G14" s="44">
        <f t="shared" si="0"/>
        <v>0</v>
      </c>
      <c r="H14" s="44"/>
      <c r="I14" s="20"/>
      <c r="J14" s="36">
        <f t="shared" ref="J14:J37" si="1">J13+G14</f>
        <v>30500</v>
      </c>
      <c r="K14" s="31"/>
      <c r="L14" s="36">
        <f>J14/SUM($E$11:E14)</f>
        <v>152.5</v>
      </c>
      <c r="O14" s="145" t="s">
        <v>270</v>
      </c>
    </row>
    <row r="15" spans="2:15" x14ac:dyDescent="0.2">
      <c r="B15" s="15"/>
      <c r="C15" s="58"/>
      <c r="D15" s="16"/>
      <c r="E15" s="157"/>
      <c r="F15" s="21"/>
      <c r="G15" s="44">
        <f t="shared" si="0"/>
        <v>0</v>
      </c>
      <c r="H15" s="44"/>
      <c r="I15" s="20"/>
      <c r="J15" s="36">
        <f t="shared" si="1"/>
        <v>30500</v>
      </c>
      <c r="K15" s="31"/>
      <c r="L15" s="36">
        <f>J15/SUM($E$11:E15)</f>
        <v>152.5</v>
      </c>
      <c r="O15" s="146" t="s">
        <v>271</v>
      </c>
    </row>
    <row r="16" spans="2:15" x14ac:dyDescent="0.2">
      <c r="B16" s="15"/>
      <c r="C16" s="58"/>
      <c r="D16" s="16"/>
      <c r="E16" s="157"/>
      <c r="F16" s="21"/>
      <c r="G16" s="44">
        <f t="shared" si="0"/>
        <v>0</v>
      </c>
      <c r="H16" s="44"/>
      <c r="I16" s="20"/>
      <c r="J16" s="36">
        <f t="shared" si="1"/>
        <v>30500</v>
      </c>
      <c r="K16" s="31"/>
      <c r="L16" s="36">
        <f>J16/SUM($E$11:E16)</f>
        <v>152.5</v>
      </c>
      <c r="O16" s="147" t="s">
        <v>266</v>
      </c>
    </row>
    <row r="17" spans="2:15" x14ac:dyDescent="0.2">
      <c r="B17" s="15"/>
      <c r="C17" s="58"/>
      <c r="D17" s="16"/>
      <c r="E17" s="157"/>
      <c r="F17" s="21"/>
      <c r="G17" s="44">
        <f t="shared" si="0"/>
        <v>0</v>
      </c>
      <c r="H17" s="44"/>
      <c r="I17" s="20"/>
      <c r="J17" s="36">
        <f t="shared" si="1"/>
        <v>30500</v>
      </c>
      <c r="K17" s="31"/>
      <c r="L17" s="36">
        <f>J17/SUM($E$11:E17)</f>
        <v>152.5</v>
      </c>
      <c r="O17" s="164" t="s">
        <v>493</v>
      </c>
    </row>
    <row r="18" spans="2:15" x14ac:dyDescent="0.2">
      <c r="B18" s="15"/>
      <c r="C18" s="58"/>
      <c r="D18" s="16"/>
      <c r="E18" s="157"/>
      <c r="F18" s="21"/>
      <c r="G18" s="44">
        <f t="shared" si="0"/>
        <v>0</v>
      </c>
      <c r="H18" s="44"/>
      <c r="I18" s="20"/>
      <c r="J18" s="36">
        <f t="shared" si="1"/>
        <v>30500</v>
      </c>
      <c r="K18" s="31"/>
      <c r="L18" s="36">
        <f>J18/SUM($E$11:E18)</f>
        <v>152.5</v>
      </c>
      <c r="O18" s="172" t="s">
        <v>546</v>
      </c>
    </row>
    <row r="19" spans="2:15" x14ac:dyDescent="0.2">
      <c r="B19" s="15"/>
      <c r="C19" s="58"/>
      <c r="D19" s="16"/>
      <c r="E19" s="157"/>
      <c r="F19" s="21"/>
      <c r="G19" s="44">
        <f t="shared" si="0"/>
        <v>0</v>
      </c>
      <c r="H19" s="44"/>
      <c r="I19" s="20"/>
      <c r="J19" s="36">
        <f t="shared" si="1"/>
        <v>30500</v>
      </c>
      <c r="K19" s="31"/>
      <c r="L19" s="36">
        <f>J19/SUM($E$11:E19)</f>
        <v>152.5</v>
      </c>
    </row>
    <row r="20" spans="2:15" x14ac:dyDescent="0.2">
      <c r="B20" s="15"/>
      <c r="C20" s="58"/>
      <c r="D20" s="16"/>
      <c r="E20" s="157"/>
      <c r="F20" s="21"/>
      <c r="G20" s="44">
        <f t="shared" si="0"/>
        <v>0</v>
      </c>
      <c r="H20" s="44"/>
      <c r="I20" s="20"/>
      <c r="J20" s="36">
        <f t="shared" si="1"/>
        <v>30500</v>
      </c>
      <c r="K20" s="31"/>
      <c r="L20" s="36">
        <f>J20/SUM($E$11:E20)</f>
        <v>152.5</v>
      </c>
    </row>
    <row r="21" spans="2:15" x14ac:dyDescent="0.2">
      <c r="B21" s="15"/>
      <c r="C21" s="58"/>
      <c r="D21" s="16"/>
      <c r="E21" s="157"/>
      <c r="F21" s="21"/>
      <c r="G21" s="44">
        <f t="shared" si="0"/>
        <v>0</v>
      </c>
      <c r="H21" s="44"/>
      <c r="I21" s="20"/>
      <c r="J21" s="36">
        <f t="shared" si="1"/>
        <v>30500</v>
      </c>
      <c r="K21" s="31"/>
      <c r="L21" s="36">
        <f>J21/SUM($E$11:E21)</f>
        <v>152.5</v>
      </c>
    </row>
    <row r="22" spans="2:15" x14ac:dyDescent="0.2">
      <c r="B22" s="15"/>
      <c r="C22" s="58"/>
      <c r="D22" s="16"/>
      <c r="E22" s="157"/>
      <c r="F22" s="21"/>
      <c r="G22" s="44">
        <f t="shared" si="0"/>
        <v>0</v>
      </c>
      <c r="H22" s="44"/>
      <c r="I22" s="20"/>
      <c r="J22" s="36">
        <f t="shared" si="1"/>
        <v>30500</v>
      </c>
      <c r="K22" s="31"/>
      <c r="L22" s="36">
        <f>J22/SUM($E$11:E22)</f>
        <v>152.5</v>
      </c>
    </row>
    <row r="23" spans="2:15" x14ac:dyDescent="0.2">
      <c r="B23" s="15"/>
      <c r="C23" s="58"/>
      <c r="D23" s="16"/>
      <c r="E23" s="157"/>
      <c r="F23" s="21"/>
      <c r="G23" s="44">
        <f t="shared" si="0"/>
        <v>0</v>
      </c>
      <c r="H23" s="44"/>
      <c r="I23" s="20"/>
      <c r="J23" s="36">
        <f t="shared" si="1"/>
        <v>30500</v>
      </c>
      <c r="K23" s="31"/>
      <c r="L23" s="36">
        <f>J23/SUM($E$11:E23)</f>
        <v>152.5</v>
      </c>
    </row>
    <row r="24" spans="2:15" x14ac:dyDescent="0.2">
      <c r="B24" s="15"/>
      <c r="C24" s="58"/>
      <c r="D24" s="16"/>
      <c r="E24" s="157"/>
      <c r="F24" s="21"/>
      <c r="G24" s="44">
        <f t="shared" si="0"/>
        <v>0</v>
      </c>
      <c r="H24" s="44"/>
      <c r="I24" s="20"/>
      <c r="J24" s="36">
        <f t="shared" si="1"/>
        <v>30500</v>
      </c>
      <c r="K24" s="31"/>
      <c r="L24" s="36">
        <f>J24/SUM($E$11:E24)</f>
        <v>152.5</v>
      </c>
    </row>
    <row r="25" spans="2:15" x14ac:dyDescent="0.2">
      <c r="B25" s="15"/>
      <c r="C25" s="58"/>
      <c r="D25" s="16"/>
      <c r="E25" s="157"/>
      <c r="F25" s="21"/>
      <c r="G25" s="44">
        <f t="shared" si="0"/>
        <v>0</v>
      </c>
      <c r="H25" s="44"/>
      <c r="I25" s="20"/>
      <c r="J25" s="36">
        <f t="shared" si="1"/>
        <v>30500</v>
      </c>
      <c r="K25" s="31"/>
      <c r="L25" s="36">
        <f>J25/SUM($E$11:E25)</f>
        <v>152.5</v>
      </c>
    </row>
    <row r="26" spans="2:15" x14ac:dyDescent="0.2">
      <c r="B26" s="15"/>
      <c r="C26" s="58"/>
      <c r="D26" s="16"/>
      <c r="E26" s="157"/>
      <c r="F26" s="21"/>
      <c r="G26" s="44">
        <f t="shared" si="0"/>
        <v>0</v>
      </c>
      <c r="H26" s="44"/>
      <c r="I26" s="20"/>
      <c r="J26" s="36">
        <f t="shared" si="1"/>
        <v>30500</v>
      </c>
      <c r="K26" s="31"/>
      <c r="L26" s="36">
        <f>J26/SUM($E$11:E26)</f>
        <v>152.5</v>
      </c>
    </row>
    <row r="27" spans="2:15" x14ac:dyDescent="0.2">
      <c r="B27" s="15"/>
      <c r="C27" s="58"/>
      <c r="D27" s="16"/>
      <c r="E27" s="157"/>
      <c r="F27" s="21"/>
      <c r="G27" s="44">
        <f t="shared" si="0"/>
        <v>0</v>
      </c>
      <c r="H27" s="44"/>
      <c r="I27" s="20"/>
      <c r="J27" s="36">
        <f t="shared" si="1"/>
        <v>30500</v>
      </c>
      <c r="K27" s="31"/>
      <c r="L27" s="36">
        <f>J27/SUM($E$11:E27)</f>
        <v>152.5</v>
      </c>
    </row>
    <row r="28" spans="2:15" x14ac:dyDescent="0.2">
      <c r="B28" s="15"/>
      <c r="C28" s="58"/>
      <c r="D28" s="16"/>
      <c r="E28" s="157"/>
      <c r="F28" s="21"/>
      <c r="G28" s="44">
        <f t="shared" si="0"/>
        <v>0</v>
      </c>
      <c r="H28" s="44"/>
      <c r="I28" s="20"/>
      <c r="J28" s="36">
        <f t="shared" si="1"/>
        <v>30500</v>
      </c>
      <c r="K28" s="31"/>
      <c r="L28" s="36">
        <f>J28/SUM($E$11:E28)</f>
        <v>152.5</v>
      </c>
    </row>
    <row r="29" spans="2:15" x14ac:dyDescent="0.2">
      <c r="B29" s="15"/>
      <c r="C29" s="58"/>
      <c r="D29" s="16"/>
      <c r="E29" s="157"/>
      <c r="F29" s="21"/>
      <c r="G29" s="44">
        <f t="shared" si="0"/>
        <v>0</v>
      </c>
      <c r="H29" s="44"/>
      <c r="I29" s="20"/>
      <c r="J29" s="36">
        <f t="shared" si="1"/>
        <v>30500</v>
      </c>
      <c r="K29" s="31"/>
      <c r="L29" s="36">
        <f>J29/SUM($E$11:E29)</f>
        <v>152.5</v>
      </c>
    </row>
    <row r="30" spans="2:15" x14ac:dyDescent="0.2">
      <c r="B30" s="15"/>
      <c r="C30" s="58"/>
      <c r="D30" s="16"/>
      <c r="E30" s="157"/>
      <c r="F30" s="21"/>
      <c r="G30" s="44">
        <f t="shared" si="0"/>
        <v>0</v>
      </c>
      <c r="H30" s="44"/>
      <c r="I30" s="20"/>
      <c r="J30" s="36">
        <f t="shared" si="1"/>
        <v>30500</v>
      </c>
      <c r="K30" s="31"/>
      <c r="L30" s="36">
        <f>J30/SUM($E$11:E30)</f>
        <v>152.5</v>
      </c>
    </row>
    <row r="31" spans="2:15" x14ac:dyDescent="0.2">
      <c r="B31" s="15"/>
      <c r="C31" s="58"/>
      <c r="D31" s="16"/>
      <c r="E31" s="157"/>
      <c r="F31" s="21"/>
      <c r="G31" s="44">
        <f t="shared" si="0"/>
        <v>0</v>
      </c>
      <c r="H31" s="44"/>
      <c r="I31" s="20"/>
      <c r="J31" s="36">
        <f t="shared" si="1"/>
        <v>30500</v>
      </c>
      <c r="K31" s="31"/>
      <c r="L31" s="36">
        <f>J31/SUM($E$11:E31)</f>
        <v>152.5</v>
      </c>
    </row>
    <row r="32" spans="2:15" x14ac:dyDescent="0.2">
      <c r="B32" s="15"/>
      <c r="C32" s="58"/>
      <c r="D32" s="16"/>
      <c r="E32" s="157"/>
      <c r="F32" s="21"/>
      <c r="G32" s="44">
        <f t="shared" si="0"/>
        <v>0</v>
      </c>
      <c r="H32" s="44"/>
      <c r="I32" s="20"/>
      <c r="J32" s="36">
        <f t="shared" si="1"/>
        <v>30500</v>
      </c>
      <c r="K32" s="31"/>
      <c r="L32" s="36">
        <f>J32/SUM($E$11:E32)</f>
        <v>152.5</v>
      </c>
    </row>
    <row r="33" spans="2:12" x14ac:dyDescent="0.2">
      <c r="B33" s="15"/>
      <c r="C33" s="58"/>
      <c r="D33" s="16"/>
      <c r="E33" s="157"/>
      <c r="F33" s="21"/>
      <c r="G33" s="44">
        <f t="shared" si="0"/>
        <v>0</v>
      </c>
      <c r="H33" s="44"/>
      <c r="I33" s="20"/>
      <c r="J33" s="36">
        <f t="shared" si="1"/>
        <v>30500</v>
      </c>
      <c r="K33" s="31"/>
      <c r="L33" s="36">
        <f>J33/SUM($E$11:E33)</f>
        <v>152.5</v>
      </c>
    </row>
    <row r="34" spans="2:12" x14ac:dyDescent="0.2">
      <c r="B34" s="15"/>
      <c r="C34" s="58"/>
      <c r="D34" s="16"/>
      <c r="E34" s="157"/>
      <c r="F34" s="21"/>
      <c r="G34" s="44">
        <f t="shared" si="0"/>
        <v>0</v>
      </c>
      <c r="H34" s="44"/>
      <c r="I34" s="20"/>
      <c r="J34" s="36">
        <f t="shared" si="1"/>
        <v>30500</v>
      </c>
      <c r="K34" s="31"/>
      <c r="L34" s="36">
        <f>J34/SUM($E$11:E34)</f>
        <v>152.5</v>
      </c>
    </row>
    <row r="35" spans="2:12" x14ac:dyDescent="0.2">
      <c r="B35" s="15"/>
      <c r="C35" s="58"/>
      <c r="D35" s="16"/>
      <c r="E35" s="157"/>
      <c r="F35" s="21"/>
      <c r="G35" s="44">
        <f t="shared" si="0"/>
        <v>0</v>
      </c>
      <c r="H35" s="44"/>
      <c r="I35" s="20"/>
      <c r="J35" s="36">
        <f t="shared" si="1"/>
        <v>30500</v>
      </c>
      <c r="K35" s="31"/>
      <c r="L35" s="36">
        <f>J35/SUM($E$11:E35)</f>
        <v>152.5</v>
      </c>
    </row>
    <row r="36" spans="2:12" x14ac:dyDescent="0.2">
      <c r="B36" s="15"/>
      <c r="C36" s="58"/>
      <c r="D36" s="16"/>
      <c r="E36" s="157"/>
      <c r="F36" s="21"/>
      <c r="G36" s="44">
        <f t="shared" si="0"/>
        <v>0</v>
      </c>
      <c r="H36" s="44"/>
      <c r="I36" s="20"/>
      <c r="J36" s="36">
        <f>J19+G36</f>
        <v>30500</v>
      </c>
      <c r="K36" s="31"/>
      <c r="L36" s="36">
        <f>J36/SUM($E$11:E36)</f>
        <v>152.5</v>
      </c>
    </row>
    <row r="37" spans="2:12" x14ac:dyDescent="0.2">
      <c r="B37" s="15"/>
      <c r="C37" s="58"/>
      <c r="D37" s="16"/>
      <c r="E37" s="157"/>
      <c r="F37" s="21"/>
      <c r="G37" s="44">
        <f t="shared" si="0"/>
        <v>0</v>
      </c>
      <c r="H37" s="44"/>
      <c r="I37" s="20"/>
      <c r="J37" s="36">
        <f t="shared" si="1"/>
        <v>30500</v>
      </c>
      <c r="K37" s="31"/>
      <c r="L37" s="36">
        <f>J37/SUM($E$11:E37)</f>
        <v>152.5</v>
      </c>
    </row>
    <row r="38" spans="2:12" ht="19" x14ac:dyDescent="0.25">
      <c r="B38" s="15"/>
      <c r="C38" s="58"/>
      <c r="D38" s="16"/>
      <c r="E38" s="155"/>
      <c r="F38" s="18"/>
      <c r="G38" s="165">
        <f>SUM(G11:G37)</f>
        <v>30500</v>
      </c>
      <c r="H38" s="165"/>
      <c r="I38" s="20"/>
      <c r="J38" s="19"/>
      <c r="K38" s="31"/>
      <c r="L38" s="165">
        <f>SUM(G11:G37)/SUM(E11:E38)</f>
        <v>152.5</v>
      </c>
    </row>
    <row r="39" spans="2:12" ht="6" customHeight="1" x14ac:dyDescent="0.2">
      <c r="B39" s="15"/>
      <c r="C39" s="58"/>
      <c r="D39" s="17"/>
      <c r="E39" s="155"/>
      <c r="F39" s="18"/>
      <c r="G39" s="19"/>
      <c r="H39" s="19"/>
      <c r="I39" s="20"/>
      <c r="J39" s="20"/>
      <c r="K39" s="31"/>
      <c r="L39" s="17"/>
    </row>
    <row r="40" spans="2:12" ht="6.5" customHeight="1" x14ac:dyDescent="0.2">
      <c r="B40" s="15"/>
      <c r="C40" s="58"/>
      <c r="D40" s="17"/>
      <c r="E40" s="155"/>
      <c r="F40" s="18"/>
      <c r="G40" s="19"/>
      <c r="H40" s="19"/>
      <c r="I40" s="20"/>
      <c r="J40" s="20"/>
      <c r="K40" s="31"/>
      <c r="L40" s="17"/>
    </row>
    <row r="41" spans="2:12" ht="20" customHeight="1" x14ac:dyDescent="0.2">
      <c r="B41" s="39" t="s">
        <v>623</v>
      </c>
      <c r="C41" s="58" t="d">
        <v>2025-09-25</v>
      </c>
      <c r="D41" s="16"/>
      <c r="E41" s="155"/>
      <c r="F41" s="21"/>
      <c r="G41" s="36">
        <v>-79</v>
      </c>
      <c r="H41" s="36"/>
      <c r="I41" s="20"/>
      <c r="J41" s="36">
        <f>J13+G41</f>
        <v>30421</v>
      </c>
      <c r="K41" s="31"/>
      <c r="L41" s="36">
        <f>J41/SUM($E$11:E41)</f>
        <v>152.10499999999999</v>
      </c>
    </row>
    <row r="42" spans="2:12" ht="16" x14ac:dyDescent="0.2">
      <c r="B42" s="39" t="s">
        <v>624</v>
      </c>
      <c r="C42" s="58" t="d">
        <v>2025-09-29</v>
      </c>
      <c r="D42" s="16"/>
      <c r="E42" s="155"/>
      <c r="F42" s="21"/>
      <c r="G42" s="36">
        <v>-125</v>
      </c>
      <c r="H42" s="36"/>
      <c r="I42" s="17"/>
      <c r="J42" s="36">
        <f t="shared" ref="J42:J76" si="2">J41+G42</f>
        <v>30296</v>
      </c>
      <c r="K42" s="31"/>
      <c r="L42" s="36">
        <f>J42/SUM($E$11:E42)</f>
        <v>151.47999999999999</v>
      </c>
    </row>
    <row r="43" spans="2:12" ht="16" x14ac:dyDescent="0.2">
      <c r="B43" s="39" t="s">
        <v>625</v>
      </c>
      <c r="C43" s="58" t="d">
        <v>2025-10-02</v>
      </c>
      <c r="D43" s="16"/>
      <c r="E43" s="155"/>
      <c r="G43" s="36">
        <v>10</v>
      </c>
      <c r="H43" s="36"/>
      <c r="I43" s="17"/>
      <c r="J43" s="36">
        <f t="shared" si="2"/>
        <v>30306</v>
      </c>
      <c r="K43" s="31"/>
      <c r="L43" s="36">
        <f>J43/SUM($E$11:E43)</f>
        <v>151.53</v>
      </c>
    </row>
    <row r="44" spans="2:12" ht="16" x14ac:dyDescent="0.2">
      <c r="B44" s="39" t="s">
        <v>626</v>
      </c>
      <c r="C44" s="58" t="d">
        <v>2025-10-08</v>
      </c>
      <c r="D44" s="16"/>
      <c r="E44" s="155"/>
      <c r="F44" s="18"/>
      <c r="G44" s="36">
        <v>15</v>
      </c>
      <c r="H44" s="36"/>
      <c r="I44" s="17"/>
      <c r="J44" s="36">
        <f t="shared" si="2"/>
        <v>30321</v>
      </c>
      <c r="K44" s="31"/>
      <c r="L44" s="36">
        <f>J44/SUM($E$11:E44)</f>
        <v>151.60499999999999</v>
      </c>
    </row>
    <row r="45" spans="2:12" ht="16" x14ac:dyDescent="0.2">
      <c r="B45" s="39" t="s">
        <v>627</v>
      </c>
      <c r="C45" s="58" t="d">
        <v>2025-10-08</v>
      </c>
      <c r="D45" s="16"/>
      <c r="E45" s="155"/>
      <c r="F45" s="18"/>
      <c r="G45" s="36">
        <v>-91</v>
      </c>
      <c r="H45" s="36"/>
      <c r="I45" s="17"/>
      <c r="J45" s="36">
        <f t="shared" si="2"/>
        <v>30230</v>
      </c>
      <c r="K45" s="31"/>
      <c r="L45" s="36">
        <f>J45/SUM($E$11:E45)</f>
        <v>151.15</v>
      </c>
    </row>
    <row r="46" spans="2:12" ht="16" x14ac:dyDescent="0.2">
      <c r="B46" s="39" t="s">
        <v>628</v>
      </c>
      <c r="C46" s="58" t="d">
        <v>2025-10-10</v>
      </c>
      <c r="D46" s="16"/>
      <c r="E46" s="155"/>
      <c r="F46" s="18"/>
      <c r="G46" s="36">
        <v>-56</v>
      </c>
      <c r="H46" s="36"/>
      <c r="I46" s="17"/>
      <c r="J46" s="36">
        <f t="shared" si="2"/>
        <v>30174</v>
      </c>
      <c r="K46" s="31"/>
      <c r="L46" s="36">
        <f>J46/SUM($E$11:E46)</f>
        <v>150.87</v>
      </c>
    </row>
    <row r="47" spans="2:12" x14ac:dyDescent="0.2">
      <c r="B47" s="39"/>
      <c r="C47" s="58"/>
      <c r="D47" s="16"/>
      <c r="E47" s="155"/>
      <c r="F47" s="18"/>
      <c r="G47" s="36">
        <v>0</v>
      </c>
      <c r="H47" s="36"/>
      <c r="I47" s="17"/>
      <c r="J47" s="36">
        <f t="shared" si="2"/>
        <v>30174</v>
      </c>
      <c r="K47" s="31"/>
      <c r="L47" s="36">
        <f>J47/SUM($E$11:E47)</f>
        <v>150.87</v>
      </c>
    </row>
    <row r="48" spans="2:12" x14ac:dyDescent="0.2">
      <c r="B48" s="39"/>
      <c r="C48" s="58"/>
      <c r="D48" s="16"/>
      <c r="E48" s="155"/>
      <c r="F48" s="18"/>
      <c r="G48" s="36">
        <v>0</v>
      </c>
      <c r="H48" s="36"/>
      <c r="I48" s="17"/>
      <c r="J48" s="36">
        <f t="shared" si="2"/>
        <v>30174</v>
      </c>
      <c r="K48" s="31"/>
      <c r="L48" s="36">
        <f>J48/SUM($E$11:E48)</f>
        <v>150.87</v>
      </c>
    </row>
    <row r="49" spans="2:12" x14ac:dyDescent="0.2">
      <c r="B49" s="39"/>
      <c r="C49" s="58"/>
      <c r="D49" s="16"/>
      <c r="E49" s="155"/>
      <c r="F49" s="18"/>
      <c r="G49" s="36">
        <v>0</v>
      </c>
      <c r="H49" s="36"/>
      <c r="I49" s="20"/>
      <c r="J49" s="36">
        <f t="shared" si="2"/>
        <v>30174</v>
      </c>
      <c r="K49" s="31"/>
      <c r="L49" s="36">
        <f>J49/SUM($E$11:E49)</f>
        <v>150.87</v>
      </c>
    </row>
    <row r="50" spans="2:12" ht="17" customHeight="1" x14ac:dyDescent="0.2">
      <c r="B50" s="39"/>
      <c r="C50" s="58"/>
      <c r="D50" s="16"/>
      <c r="E50" s="155"/>
      <c r="F50" s="18"/>
      <c r="G50" s="36">
        <v>0</v>
      </c>
      <c r="H50" s="36"/>
      <c r="I50" s="20"/>
      <c r="J50" s="36">
        <f t="shared" si="2"/>
        <v>30174</v>
      </c>
      <c r="K50" s="31"/>
      <c r="L50" s="36">
        <f>J50/SUM($E$11:E50)</f>
        <v>150.87</v>
      </c>
    </row>
    <row r="51" spans="2:12" x14ac:dyDescent="0.2">
      <c r="B51" s="39"/>
      <c r="C51" s="58"/>
      <c r="D51" s="16"/>
      <c r="E51" s="155"/>
      <c r="F51" s="18"/>
      <c r="G51" s="36">
        <v>0</v>
      </c>
      <c r="H51" s="36"/>
      <c r="I51" s="20"/>
      <c r="J51" s="36">
        <f t="shared" si="2"/>
        <v>30174</v>
      </c>
      <c r="K51" s="31"/>
      <c r="L51" s="36">
        <f>J51/SUM($E$11:E51)</f>
        <v>150.87</v>
      </c>
    </row>
    <row r="52" spans="2:12" x14ac:dyDescent="0.2">
      <c r="B52" s="39"/>
      <c r="C52" s="58"/>
      <c r="D52" s="16"/>
      <c r="E52" s="155"/>
      <c r="F52" s="18"/>
      <c r="G52" s="36">
        <v>0</v>
      </c>
      <c r="H52" s="36"/>
      <c r="I52" s="20"/>
      <c r="J52" s="36">
        <f t="shared" si="2"/>
        <v>30174</v>
      </c>
      <c r="K52" s="31"/>
      <c r="L52" s="36">
        <f>J52/SUM($E$11:E52)</f>
        <v>150.87</v>
      </c>
    </row>
    <row r="53" spans="2:12" x14ac:dyDescent="0.2">
      <c r="B53" s="39"/>
      <c r="C53" s="58"/>
      <c r="D53" s="16"/>
      <c r="E53" s="155"/>
      <c r="F53" s="18"/>
      <c r="G53" s="36">
        <v>0</v>
      </c>
      <c r="H53" s="36"/>
      <c r="I53" s="20"/>
      <c r="J53" s="36">
        <f t="shared" si="2"/>
        <v>30174</v>
      </c>
      <c r="K53" s="31"/>
      <c r="L53" s="36">
        <f>J53/SUM($E$11:E53)</f>
        <v>150.87</v>
      </c>
    </row>
    <row r="54" spans="2:12" x14ac:dyDescent="0.2">
      <c r="B54" s="39"/>
      <c r="C54" s="58"/>
      <c r="D54" s="16"/>
      <c r="E54" s="155"/>
      <c r="F54" s="18"/>
      <c r="G54" s="36">
        <v>0</v>
      </c>
      <c r="H54" s="36"/>
      <c r="I54" s="20"/>
      <c r="J54" s="36">
        <f t="shared" si="2"/>
        <v>30174</v>
      </c>
      <c r="K54" s="31"/>
      <c r="L54" s="36">
        <f>J54/SUM($E$11:E54)</f>
        <v>150.87</v>
      </c>
    </row>
    <row r="55" spans="2:12" x14ac:dyDescent="0.2">
      <c r="B55" s="39"/>
      <c r="C55" s="58"/>
      <c r="D55" s="16"/>
      <c r="E55" s="155"/>
      <c r="F55" s="18"/>
      <c r="G55" s="36">
        <v>0</v>
      </c>
      <c r="H55" s="36"/>
      <c r="I55" s="20"/>
      <c r="J55" s="36">
        <f t="shared" si="2"/>
        <v>30174</v>
      </c>
      <c r="K55" s="31"/>
      <c r="L55" s="36">
        <f>J55/SUM($E$11:E55)</f>
        <v>150.87</v>
      </c>
    </row>
    <row r="56" spans="2:12" ht="16" customHeight="1" x14ac:dyDescent="0.2">
      <c r="B56" s="39"/>
      <c r="C56" s="58"/>
      <c r="D56" s="16"/>
      <c r="E56" s="155"/>
      <c r="F56" s="18"/>
      <c r="G56" s="36">
        <v>0</v>
      </c>
      <c r="H56" s="36"/>
      <c r="I56" s="20"/>
      <c r="J56" s="36">
        <f t="shared" si="2"/>
        <v>30174</v>
      </c>
      <c r="K56" s="31"/>
      <c r="L56" s="36">
        <f>J56/SUM($E$11:E56)</f>
        <v>150.87</v>
      </c>
    </row>
    <row r="57" spans="2:12" ht="18" customHeight="1" x14ac:dyDescent="0.2">
      <c r="B57" s="39"/>
      <c r="C57" s="58"/>
      <c r="D57" s="16"/>
      <c r="E57" s="155"/>
      <c r="F57" s="18"/>
      <c r="G57" s="36">
        <v>0</v>
      </c>
      <c r="H57" s="36"/>
      <c r="I57" s="20"/>
      <c r="J57" s="36">
        <f t="shared" si="2"/>
        <v>30174</v>
      </c>
      <c r="K57" s="31"/>
      <c r="L57" s="36">
        <f>J57/SUM($E$11:E57)</f>
        <v>150.87</v>
      </c>
    </row>
    <row r="58" spans="2:12" x14ac:dyDescent="0.2">
      <c r="B58" s="39"/>
      <c r="C58" s="58"/>
      <c r="D58" s="16"/>
      <c r="E58" s="155"/>
      <c r="F58" s="18"/>
      <c r="G58" s="36">
        <v>0</v>
      </c>
      <c r="H58" s="36"/>
      <c r="I58" s="20"/>
      <c r="J58" s="36">
        <f t="shared" si="2"/>
        <v>30174</v>
      </c>
      <c r="K58" s="31"/>
      <c r="L58" s="36">
        <f>J58/SUM($E$11:E58)</f>
        <v>150.87</v>
      </c>
    </row>
    <row r="59" spans="2:12" x14ac:dyDescent="0.2">
      <c r="B59" s="39"/>
      <c r="C59" s="58"/>
      <c r="D59" s="16"/>
      <c r="E59" s="155"/>
      <c r="F59" s="18"/>
      <c r="G59" s="36">
        <v>0</v>
      </c>
      <c r="H59" s="36"/>
      <c r="I59" s="20"/>
      <c r="J59" s="36">
        <f t="shared" si="2"/>
        <v>30174</v>
      </c>
      <c r="K59" s="31"/>
      <c r="L59" s="36">
        <f>J59/SUM($E$11:E59)</f>
        <v>150.87</v>
      </c>
    </row>
    <row r="60" spans="2:12" x14ac:dyDescent="0.2">
      <c r="B60" s="39"/>
      <c r="C60" s="58"/>
      <c r="D60" s="16"/>
      <c r="E60" s="155"/>
      <c r="F60" s="18"/>
      <c r="G60" s="36">
        <v>0</v>
      </c>
      <c r="H60" s="36"/>
      <c r="I60" s="20"/>
      <c r="J60" s="36">
        <f t="shared" si="2"/>
        <v>30174</v>
      </c>
      <c r="K60" s="31"/>
      <c r="L60" s="36">
        <f>J60/SUM($E$11:E60)</f>
        <v>150.87</v>
      </c>
    </row>
    <row r="61" spans="2:12" x14ac:dyDescent="0.2">
      <c r="B61" s="39"/>
      <c r="C61" s="58"/>
      <c r="D61" s="16"/>
      <c r="E61" s="155"/>
      <c r="F61" s="18"/>
      <c r="G61" s="36">
        <v>0</v>
      </c>
      <c r="H61" s="36"/>
      <c r="I61" s="20"/>
      <c r="J61" s="36">
        <f t="shared" si="2"/>
        <v>30174</v>
      </c>
      <c r="K61" s="31"/>
      <c r="L61" s="36">
        <f>J61/SUM($E$11:E61)</f>
        <v>150.87</v>
      </c>
    </row>
    <row r="62" spans="2:12" x14ac:dyDescent="0.2">
      <c r="B62" s="39"/>
      <c r="C62" s="58"/>
      <c r="D62" s="16"/>
      <c r="E62" s="155"/>
      <c r="F62" s="18"/>
      <c r="G62" s="36">
        <v>0</v>
      </c>
      <c r="H62" s="36"/>
      <c r="I62" s="20"/>
      <c r="J62" s="36">
        <f t="shared" si="2"/>
        <v>30174</v>
      </c>
      <c r="K62" s="31"/>
      <c r="L62" s="36">
        <f>J62/SUM($E$11:E62)</f>
        <v>150.87</v>
      </c>
    </row>
    <row r="63" spans="2:12" x14ac:dyDescent="0.2">
      <c r="B63" s="39"/>
      <c r="C63" s="58"/>
      <c r="D63" s="16"/>
      <c r="E63" s="155"/>
      <c r="F63" s="18"/>
      <c r="G63" s="36">
        <v>0</v>
      </c>
      <c r="H63" s="36"/>
      <c r="I63" s="20"/>
      <c r="J63" s="36">
        <f t="shared" si="2"/>
        <v>30174</v>
      </c>
      <c r="K63" s="31"/>
      <c r="L63" s="36">
        <f>J63/SUM($E$11:E63)</f>
        <v>150.87</v>
      </c>
    </row>
    <row r="64" spans="2:12" x14ac:dyDescent="0.2">
      <c r="B64" s="39"/>
      <c r="C64" s="58"/>
      <c r="D64" s="16"/>
      <c r="E64" s="155"/>
      <c r="F64" s="18"/>
      <c r="G64" s="36">
        <v>0</v>
      </c>
      <c r="H64" s="36"/>
      <c r="I64" s="20"/>
      <c r="J64" s="36">
        <f t="shared" si="2"/>
        <v>30174</v>
      </c>
      <c r="K64" s="31"/>
      <c r="L64" s="36">
        <f>J64/SUM($E$11:E64)</f>
        <v>150.87</v>
      </c>
    </row>
    <row r="65" spans="2:12" x14ac:dyDescent="0.2">
      <c r="B65" s="39"/>
      <c r="C65" s="58"/>
      <c r="D65" s="16"/>
      <c r="E65" s="155"/>
      <c r="F65" s="18"/>
      <c r="G65" s="36">
        <v>0</v>
      </c>
      <c r="H65" s="36"/>
      <c r="I65" s="20"/>
      <c r="J65" s="36">
        <f t="shared" si="2"/>
        <v>30174</v>
      </c>
      <c r="K65" s="31"/>
      <c r="L65" s="36">
        <f>J65/SUM($E$11:E65)</f>
        <v>150.87</v>
      </c>
    </row>
    <row r="66" spans="2:12" x14ac:dyDescent="0.2">
      <c r="B66" s="39"/>
      <c r="C66" s="58"/>
      <c r="D66" s="16"/>
      <c r="E66" s="155"/>
      <c r="F66" s="18"/>
      <c r="G66" s="36">
        <v>0</v>
      </c>
      <c r="H66" s="36"/>
      <c r="I66" s="20"/>
      <c r="J66" s="36">
        <f t="shared" si="2"/>
        <v>30174</v>
      </c>
      <c r="K66" s="31"/>
      <c r="L66" s="36">
        <f>J66/SUM($E$11:E66)</f>
        <v>150.87</v>
      </c>
    </row>
    <row r="67" spans="2:12" x14ac:dyDescent="0.2">
      <c r="B67" s="39"/>
      <c r="C67" s="58"/>
      <c r="D67" s="16"/>
      <c r="E67" s="155"/>
      <c r="F67" s="18"/>
      <c r="G67" s="36">
        <v>0</v>
      </c>
      <c r="H67" s="36"/>
      <c r="I67" s="20"/>
      <c r="J67" s="36">
        <f t="shared" si="2"/>
        <v>30174</v>
      </c>
      <c r="K67" s="31"/>
      <c r="L67" s="36">
        <f>J67/SUM($E$11:E67)</f>
        <v>150.87</v>
      </c>
    </row>
    <row r="68" spans="2:12" x14ac:dyDescent="0.2">
      <c r="B68" s="39"/>
      <c r="C68" s="58"/>
      <c r="D68" s="16"/>
      <c r="E68" s="155"/>
      <c r="F68" s="18"/>
      <c r="G68" s="36">
        <v>0</v>
      </c>
      <c r="H68" s="36"/>
      <c r="I68" s="20"/>
      <c r="J68" s="36">
        <f t="shared" si="2"/>
        <v>30174</v>
      </c>
      <c r="K68" s="31"/>
      <c r="L68" s="36">
        <f>J68/SUM($E$11:E68)</f>
        <v>150.87</v>
      </c>
    </row>
    <row r="69" spans="2:12" x14ac:dyDescent="0.2">
      <c r="B69" s="39"/>
      <c r="C69" s="58"/>
      <c r="D69" s="16"/>
      <c r="E69" s="155"/>
      <c r="F69" s="18"/>
      <c r="G69" s="36">
        <v>0</v>
      </c>
      <c r="H69" s="36"/>
      <c r="I69" s="20"/>
      <c r="J69" s="36">
        <f t="shared" si="2"/>
        <v>30174</v>
      </c>
      <c r="K69" s="31"/>
      <c r="L69" s="36">
        <f>J69/SUM($E$11:E69)</f>
        <v>150.87</v>
      </c>
    </row>
    <row r="70" spans="2:12" x14ac:dyDescent="0.2">
      <c r="B70" s="39"/>
      <c r="C70" s="58"/>
      <c r="D70" s="16"/>
      <c r="E70" s="155"/>
      <c r="F70" s="18"/>
      <c r="G70" s="36">
        <v>0</v>
      </c>
      <c r="H70" s="36"/>
      <c r="I70" s="20"/>
      <c r="J70" s="36">
        <f t="shared" si="2"/>
        <v>30174</v>
      </c>
      <c r="K70" s="31"/>
      <c r="L70" s="36">
        <f>J70/SUM($E$11:E70)</f>
        <v>150.87</v>
      </c>
    </row>
    <row r="71" spans="2:12" x14ac:dyDescent="0.2">
      <c r="B71" s="39"/>
      <c r="C71" s="58"/>
      <c r="D71" s="16"/>
      <c r="E71" s="155"/>
      <c r="F71" s="18"/>
      <c r="G71" s="36">
        <v>0</v>
      </c>
      <c r="H71" s="36"/>
      <c r="I71" s="20"/>
      <c r="J71" s="36">
        <f t="shared" si="2"/>
        <v>30174</v>
      </c>
      <c r="K71" s="31"/>
      <c r="L71" s="36">
        <f>J71/SUM($E$11:E71)</f>
        <v>150.87</v>
      </c>
    </row>
    <row r="72" spans="2:12" x14ac:dyDescent="0.2">
      <c r="B72" s="39"/>
      <c r="C72" s="58"/>
      <c r="D72" s="16"/>
      <c r="E72" s="155"/>
      <c r="F72" s="18"/>
      <c r="G72" s="36">
        <v>0</v>
      </c>
      <c r="H72" s="36"/>
      <c r="I72" s="20"/>
      <c r="J72" s="36">
        <f t="shared" si="2"/>
        <v>30174</v>
      </c>
      <c r="K72" s="31"/>
      <c r="L72" s="36">
        <f>J72/SUM($E$11:E72)</f>
        <v>150.87</v>
      </c>
    </row>
    <row r="73" spans="2:12" x14ac:dyDescent="0.2">
      <c r="B73" s="39"/>
      <c r="C73" s="58"/>
      <c r="D73" s="16"/>
      <c r="E73" s="155"/>
      <c r="F73" s="18"/>
      <c r="G73" s="36">
        <v>0</v>
      </c>
      <c r="H73" s="36"/>
      <c r="I73" s="20"/>
      <c r="J73" s="36">
        <f t="shared" si="2"/>
        <v>30174</v>
      </c>
      <c r="K73" s="31"/>
      <c r="L73" s="36">
        <f>J73/SUM($E$11:E73)</f>
        <v>150.87</v>
      </c>
    </row>
    <row r="74" spans="2:12" x14ac:dyDescent="0.2">
      <c r="B74" s="39"/>
      <c r="C74" s="58"/>
      <c r="D74" s="16"/>
      <c r="E74" s="155"/>
      <c r="F74" s="18"/>
      <c r="G74" s="36">
        <v>0</v>
      </c>
      <c r="H74" s="36"/>
      <c r="I74" s="20"/>
      <c r="J74" s="36">
        <f t="shared" si="2"/>
        <v>30174</v>
      </c>
      <c r="K74" s="31"/>
      <c r="L74" s="36">
        <f>J74/SUM($E$11:E74)</f>
        <v>150.87</v>
      </c>
    </row>
    <row r="75" spans="2:12" x14ac:dyDescent="0.2">
      <c r="B75" s="39"/>
      <c r="C75" s="58"/>
      <c r="D75" s="16"/>
      <c r="E75" s="155"/>
      <c r="F75" s="18"/>
      <c r="G75" s="36">
        <v>0</v>
      </c>
      <c r="H75" s="36"/>
      <c r="I75" s="20"/>
      <c r="J75" s="36">
        <f t="shared" si="2"/>
        <v>30174</v>
      </c>
      <c r="K75" s="31"/>
      <c r="L75" s="36">
        <f>J75/SUM($E$11:E75)</f>
        <v>150.87</v>
      </c>
    </row>
    <row r="76" spans="2:12" x14ac:dyDescent="0.2">
      <c r="B76" s="39"/>
      <c r="C76" s="58"/>
      <c r="D76" s="16"/>
      <c r="E76" s="155"/>
      <c r="F76" s="18"/>
      <c r="G76" s="36">
        <v>0</v>
      </c>
      <c r="H76" s="36"/>
      <c r="I76" s="20"/>
      <c r="J76" s="36">
        <f t="shared" si="2"/>
        <v>30174</v>
      </c>
      <c r="K76" s="31"/>
      <c r="L76" s="36">
        <f>J76/SUM($E$11:E76)</f>
        <v>150.87</v>
      </c>
    </row>
    <row r="77" spans="2:12" ht="19" x14ac:dyDescent="0.25">
      <c r="B77" s="15"/>
      <c r="C77" s="58"/>
      <c r="D77" s="16"/>
      <c r="E77" s="155"/>
      <c r="F77" s="18"/>
      <c r="G77" s="165">
        <f>SUM(G41:G76)</f>
        <v>-326</v>
      </c>
      <c r="H77" s="165"/>
      <c r="I77" s="20"/>
      <c r="J77" s="19"/>
      <c r="K77" s="31"/>
      <c r="L77" s="165">
        <f>J77/3400</f>
        <v>0</v>
      </c>
    </row>
    <row r="78" spans="2:12" ht="4.75" customHeight="1" x14ac:dyDescent="0.2">
      <c r="B78" s="15"/>
      <c r="C78" s="58"/>
      <c r="D78" s="17"/>
      <c r="E78" s="155"/>
      <c r="F78" s="18"/>
      <c r="G78" s="19"/>
      <c r="H78" s="19"/>
      <c r="I78" s="20"/>
      <c r="J78" s="20"/>
      <c r="K78" s="31"/>
      <c r="L78" s="17"/>
    </row>
    <row r="79" spans="2:12" ht="14" customHeight="1" x14ac:dyDescent="0.25">
      <c r="B79" s="15"/>
      <c r="C79" s="58"/>
      <c r="D79" s="17"/>
      <c r="E79" s="158"/>
      <c r="F79" s="24"/>
      <c r="I79" s="20"/>
      <c r="J79" s="20"/>
      <c r="K79" s="31"/>
      <c r="L79" s="17"/>
    </row>
  </sheetData>
  <mergeCells count="2">
    <mergeCell ref="B1:C1"/>
    <mergeCell ref="B8:G8"/>
  </mergeCells>
  <conditionalFormatting sqref="B77:B116">
    <cfRule type="expression" dxfId="182" priority="10" stopIfTrue="1">
      <formula>K77="assigned"</formula>
    </cfRule>
    <cfRule type="expression" dxfId="181" priority="11">
      <formula>K77="expired"</formula>
    </cfRule>
  </conditionalFormatting>
  <conditionalFormatting sqref="B77:B116">
    <cfRule type="expression" dxfId="180" priority="8">
      <formula>AND(ISNUMBER(SEARCH("call", B77)), K77="expired")</formula>
    </cfRule>
    <cfRule type="expression" dxfId="179" priority="9">
      <formula>AND(ISNUMBER(SEARCH("call", B77)), K77="assigned")</formula>
    </cfRule>
  </conditionalFormatting>
  <conditionalFormatting sqref="B41:B76">
    <cfRule type="expression" dxfId="178" priority="1" stopIfTrue="1">
      <formula>K41="closing"</formula>
    </cfRule>
    <cfRule type="expression" dxfId="177" priority="2" stopIfTrue="1">
      <formula>K41="closed"</formula>
    </cfRule>
    <cfRule type="expression" dxfId="176" priority="3" stopIfTrue="1">
      <formula>K41="ROLL"</formula>
    </cfRule>
    <cfRule type="expression" dxfId="175" priority="4" stopIfTrue="1">
      <formula>AND(ISNUMBER(SEARCH("call", B41)), K41="expired")</formula>
    </cfRule>
    <cfRule type="expression" dxfId="174" priority="5" stopIfTrue="1">
      <formula>AND(ISNUMBER(SEARCH("call", B41)), K41="assigned")</formula>
    </cfRule>
    <cfRule type="expression" dxfId="173" priority="6" stopIfTrue="1">
      <formula>K41="assigned"</formula>
    </cfRule>
    <cfRule type="expression" dxfId="172" priority="7">
      <formula>K41="expired"</formula>
    </cfRule>
  </conditionalFormatting>
  <pageMargins left="0.7" right="0.7" top="0.75" bottom="0.75" header="0.3" footer="0.3"/>
  <pageSetup paperSize="0" orientation="portrait" r:id="rId1"/>
</worksheet>
</file>

<file path=xl/worksheets/sheet3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9015-5E57-8241-8639-4AB8F63F68CB}">
  <sheetPr codeName="Sheet41"/>
  <dimension ref="B1:N79"/>
  <sheetViews>
    <sheetView topLeftCell="A5" zoomScale="120" zoomScaleNormal="120" workbookViewId="0">
      <selection activeCell="J42" sqref="J42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428</v>
      </c>
      <c r="C1" s="197"/>
    </row>
    <row r="2" spans="2:14" x14ac:dyDescent="0.2">
      <c r="B2" s="1" t="s">
        <v>427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-24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367</v>
      </c>
      <c r="C41" s="58" t="d">
        <v>2025-04-21</v>
      </c>
      <c r="D41" s="16"/>
      <c r="E41" s="155"/>
      <c r="F41" s="21"/>
      <c r="G41" s="36">
        <v>-24</v>
      </c>
      <c r="H41" s="20"/>
      <c r="I41" s="36">
        <f>I13+G41</f>
        <v>-24</v>
      </c>
      <c r="J41" s="31" t="s">
        <v>10</v>
      </c>
      <c r="K41" s="36" t="e">
        <f>I41/SUM($E$11:E41)</f>
        <v>#DIV/0!</v>
      </c>
    </row>
    <row r="42" spans="2:11" x14ac:dyDescent="0.2">
      <c r="B42" s="39"/>
      <c r="C42" s="58"/>
      <c r="D42" s="16"/>
      <c r="E42" s="155"/>
      <c r="F42" s="21"/>
      <c r="G42" s="36">
        <v>0</v>
      </c>
      <c r="H42" s="17"/>
      <c r="I42" s="36">
        <f t="shared" ref="I42:I76" si="2">I41+G42</f>
        <v>-24</v>
      </c>
      <c r="J42" s="31"/>
      <c r="K42" s="36" t="e">
        <f>I42/SUM($E$11:E42)</f>
        <v>#DIV/0!</v>
      </c>
    </row>
    <row r="43" spans="2:11" x14ac:dyDescent="0.2">
      <c r="B43" s="39"/>
      <c r="C43" s="58"/>
      <c r="D43" s="16"/>
      <c r="E43" s="155"/>
      <c r="G43" s="36">
        <v>0</v>
      </c>
      <c r="H43" s="17"/>
      <c r="I43" s="36">
        <f t="shared" si="2"/>
        <v>-24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-24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-24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-24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-24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-24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-24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-24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-24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-24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-24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-24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-24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-24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-24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-24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-24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-24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-24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-24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-24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-24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-24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-24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-24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-24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-24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-24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-24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-24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-24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-24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-24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-24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-24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171" priority="8" stopIfTrue="1">
      <formula>J77="assigned"</formula>
    </cfRule>
    <cfRule type="expression" dxfId="170" priority="9">
      <formula>J77="expired"</formula>
    </cfRule>
  </conditionalFormatting>
  <conditionalFormatting sqref="B77:B116">
    <cfRule type="expression" dxfId="169" priority="6">
      <formula>AND(ISNUMBER(SEARCH("call", B77)), J77="expired")</formula>
    </cfRule>
    <cfRule type="expression" dxfId="168" priority="7">
      <formula>AND(ISNUMBER(SEARCH("call", B77)), J77="assigned")</formula>
    </cfRule>
  </conditionalFormatting>
  <conditionalFormatting sqref="B41:B76">
    <cfRule type="expression" dxfId="167" priority="1" stopIfTrue="1">
      <formula>J41="ROLL"</formula>
    </cfRule>
    <cfRule type="expression" dxfId="166" priority="2" stopIfTrue="1">
      <formula>AND(ISNUMBER(SEARCH("call", B41)), J41="expired")</formula>
    </cfRule>
    <cfRule type="expression" dxfId="165" priority="3" stopIfTrue="1">
      <formula>AND(ISNUMBER(SEARCH("call", B41)), J41="assigned")</formula>
    </cfRule>
    <cfRule type="expression" dxfId="164" priority="4" stopIfTrue="1">
      <formula>J41="assigned"</formula>
    </cfRule>
    <cfRule type="expression" dxfId="163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4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1DEE-6727-3A49-B5C5-F176B254323B}">
  <sheetPr codeName="Sheet3"/>
  <dimension ref="B1:N123"/>
  <sheetViews>
    <sheetView zoomScale="120" zoomScaleNormal="120" workbookViewId="0">
      <pane xSplit="1" ySplit="10" topLeftCell="B39" activePane="bottomRight" state="frozen"/>
      <selection activeCell="A55" sqref="A55"/>
      <selection pane="topRight" activeCell="A55" sqref="A55"/>
      <selection pane="bottomLeft" activeCell="A55" sqref="A55"/>
      <selection pane="bottomRight" activeCell="C71" sqref="C71"/>
    </sheetView>
  </sheetViews>
  <sheetFormatPr baseColWidth="10" defaultColWidth="8.83203125" defaultRowHeight="15" x14ac:dyDescent="0.2"/>
  <cols>
    <col min="1" max="1" width="6" style="70" customWidth="1"/>
    <col min="2" max="2" width="34.83203125" style="71" customWidth="1"/>
    <col min="3" max="3" width="16.33203125" style="109" customWidth="1"/>
    <col min="4" max="4" width="8.33203125" style="70" customWidth="1"/>
    <col min="5" max="5" width="10.83203125" style="70" customWidth="1"/>
    <col min="6" max="6" width="9.6640625" style="70" bestFit="1" customWidth="1"/>
    <col min="7" max="7" width="13.83203125" style="70" customWidth="1"/>
    <col min="8" max="8" width="3.5" style="70" customWidth="1"/>
    <col min="9" max="9" width="12.1640625" style="70" customWidth="1"/>
    <col min="10" max="10" width="13.5" style="148" customWidth="1"/>
    <col min="11" max="11" width="8.83203125" style="72"/>
    <col min="12" max="12" width="26.6640625" style="70" customWidth="1"/>
    <col min="13" max="13" width="8.83203125" style="70"/>
    <col min="14" max="14" width="13.33203125" style="70" customWidth="1"/>
    <col min="15" max="16384" width="8.83203125" style="70"/>
  </cols>
  <sheetData>
    <row r="1" spans="2:14" ht="17" customHeight="1" x14ac:dyDescent="0.2">
      <c r="B1" s="200" t="s">
        <v>16</v>
      </c>
      <c r="C1" s="200"/>
    </row>
    <row r="2" spans="2:14" x14ac:dyDescent="0.2">
      <c r="B2" s="67"/>
      <c r="C2" s="110"/>
      <c r="D2" s="72"/>
      <c r="E2" s="72"/>
      <c r="F2" s="74"/>
      <c r="G2" s="75"/>
      <c r="N2" s="144" t="s">
        <v>268</v>
      </c>
    </row>
    <row r="3" spans="2:14" ht="19" x14ac:dyDescent="0.2">
      <c r="B3" s="111"/>
      <c r="C3" s="112"/>
      <c r="D3" s="77"/>
      <c r="E3" s="77"/>
      <c r="F3" s="78" t="s">
        <v>0</v>
      </c>
      <c r="G3" s="79">
        <f>IF(ISERROR(SUM(G24,G119)/G4),SUM(G24,G119),SUM(G24,G119)/G4)</f>
        <v>-9.26</v>
      </c>
      <c r="I3" s="70" t="s">
        <v>279</v>
      </c>
      <c r="J3" s="80">
        <v>16</v>
      </c>
      <c r="K3" s="77"/>
      <c r="N3" s="143" t="s">
        <v>269</v>
      </c>
    </row>
    <row r="4" spans="2:14" x14ac:dyDescent="0.2">
      <c r="B4" s="113"/>
      <c r="C4" s="110"/>
      <c r="D4" s="72"/>
      <c r="E4" s="72"/>
      <c r="F4" s="74" t="s">
        <v>2</v>
      </c>
      <c r="G4" s="81">
        <f>SUM(E11:E186)</f>
        <v>100</v>
      </c>
      <c r="N4" s="145" t="s">
        <v>270</v>
      </c>
    </row>
    <row r="5" spans="2:14" x14ac:dyDescent="0.2">
      <c r="C5" s="110"/>
      <c r="D5" s="72"/>
      <c r="E5" s="72"/>
      <c r="F5" s="74"/>
      <c r="G5" s="75"/>
      <c r="N5" s="146" t="s">
        <v>271</v>
      </c>
    </row>
    <row r="6" spans="2:14" x14ac:dyDescent="0.2">
      <c r="C6" s="106"/>
      <c r="D6" s="83"/>
      <c r="E6" s="83"/>
      <c r="F6" s="84"/>
      <c r="G6" s="85"/>
      <c r="H6" s="69"/>
      <c r="I6" s="69"/>
      <c r="J6" s="149"/>
      <c r="K6" s="83"/>
      <c r="N6" s="147" t="s">
        <v>266</v>
      </c>
    </row>
    <row r="7" spans="2:14" ht="6" customHeight="1" x14ac:dyDescent="0.2">
      <c r="B7" s="67"/>
      <c r="C7" s="106"/>
      <c r="D7" s="83"/>
      <c r="E7" s="83"/>
      <c r="F7" s="84"/>
      <c r="G7" s="85"/>
      <c r="H7" s="69"/>
      <c r="I7" s="69"/>
      <c r="J7" s="149"/>
      <c r="K7" s="83"/>
    </row>
    <row r="8" spans="2:14" s="90" customFormat="1" ht="12" x14ac:dyDescent="0.2">
      <c r="B8" s="199" t="s">
        <v>3</v>
      </c>
      <c r="C8" s="199"/>
      <c r="D8" s="199"/>
      <c r="E8" s="199"/>
      <c r="F8" s="199"/>
      <c r="G8" s="199"/>
      <c r="H8" s="87"/>
      <c r="I8" s="88" t="s">
        <v>4</v>
      </c>
      <c r="J8" s="150"/>
      <c r="K8" s="88" t="s">
        <v>5</v>
      </c>
    </row>
    <row r="9" spans="2:14" ht="16" x14ac:dyDescent="0.2">
      <c r="B9" s="114" t="s">
        <v>11</v>
      </c>
      <c r="C9" s="115" t="s">
        <v>6</v>
      </c>
      <c r="D9" s="92" t="s">
        <v>39</v>
      </c>
      <c r="E9" s="92" t="s">
        <v>2</v>
      </c>
      <c r="F9" s="93" t="s">
        <v>7</v>
      </c>
      <c r="G9" s="94" t="s">
        <v>8</v>
      </c>
      <c r="H9" s="92"/>
      <c r="I9" s="92"/>
      <c r="J9" s="95"/>
      <c r="K9" s="92"/>
    </row>
    <row r="10" spans="2:14" ht="5.5" customHeight="1" x14ac:dyDescent="0.2">
      <c r="B10" s="114"/>
      <c r="C10" s="115"/>
      <c r="D10" s="92"/>
      <c r="E10" s="92"/>
      <c r="F10" s="93"/>
      <c r="G10" s="94"/>
      <c r="H10" s="92"/>
      <c r="I10" s="92"/>
      <c r="J10" s="95"/>
      <c r="K10" s="92"/>
    </row>
    <row r="11" spans="2:14" ht="16" x14ac:dyDescent="0.2">
      <c r="B11" s="67" t="s">
        <v>138</v>
      </c>
      <c r="C11" s="106" t="d">
        <v>2024-04-19</v>
      </c>
      <c r="D11" s="96"/>
      <c r="E11" s="83">
        <v>100</v>
      </c>
      <c r="F11" s="116">
        <v>10</v>
      </c>
      <c r="G11" s="99">
        <f>E11*F11</f>
        <v>1000</v>
      </c>
      <c r="H11" s="69"/>
      <c r="I11" s="99">
        <f>G11</f>
        <v>1000</v>
      </c>
      <c r="K11" s="105">
        <f>IF(ISERROR(I11/$G$4),0,I11/SUM($E$11:E11))</f>
        <v>10</v>
      </c>
      <c r="L11" s="86" t="s">
        <v>85</v>
      </c>
    </row>
    <row r="12" spans="2:14" x14ac:dyDescent="0.2">
      <c r="B12" s="67"/>
      <c r="C12" s="106"/>
      <c r="D12" s="96"/>
      <c r="E12" s="83"/>
      <c r="F12" s="116"/>
      <c r="G12" s="99">
        <f>E12*F12</f>
        <v>0</v>
      </c>
      <c r="H12" s="69"/>
      <c r="I12" s="99">
        <f>I11+G12</f>
        <v>1000</v>
      </c>
      <c r="J12" s="149"/>
      <c r="K12" s="105">
        <f>IF(ISERROR(I12/$G$4),0,I12/SUM($E$11:E12))</f>
        <v>10</v>
      </c>
    </row>
    <row r="13" spans="2:14" x14ac:dyDescent="0.2">
      <c r="B13" s="67"/>
      <c r="C13" s="106"/>
      <c r="D13" s="96"/>
      <c r="E13" s="83"/>
      <c r="F13" s="116"/>
      <c r="G13" s="99">
        <f>E13*F13</f>
        <v>0</v>
      </c>
      <c r="H13" s="69"/>
      <c r="I13" s="99">
        <f>I12+G13</f>
        <v>1000</v>
      </c>
      <c r="J13" s="149"/>
      <c r="K13" s="105">
        <f>IF(ISERROR(I13/$G$4),0,I13/SUM($E$11:E13))</f>
        <v>10</v>
      </c>
    </row>
    <row r="14" spans="2:14" x14ac:dyDescent="0.2">
      <c r="B14" s="67"/>
      <c r="C14" s="106"/>
      <c r="D14" s="96"/>
      <c r="E14" s="83"/>
      <c r="F14" s="116"/>
      <c r="G14" s="99">
        <f>E14*F14</f>
        <v>0</v>
      </c>
      <c r="H14" s="69"/>
      <c r="I14" s="99">
        <f>I13+G14</f>
        <v>1000</v>
      </c>
      <c r="J14" s="149"/>
      <c r="K14" s="105">
        <f>IF(ISERROR(I14/$G$4),0,I14/SUM($E$11:E14))</f>
        <v>10</v>
      </c>
    </row>
    <row r="15" spans="2:14" x14ac:dyDescent="0.2">
      <c r="B15" s="67"/>
      <c r="C15" s="106"/>
      <c r="D15" s="96"/>
      <c r="E15" s="83"/>
      <c r="F15" s="116"/>
      <c r="G15" s="99">
        <f t="shared" ref="G15:G22" si="0">E15*F15</f>
        <v>0</v>
      </c>
      <c r="H15" s="69"/>
      <c r="I15" s="99">
        <f t="shared" ref="I15:I22" si="1">I14+G15</f>
        <v>1000</v>
      </c>
      <c r="J15" s="149"/>
      <c r="K15" s="105">
        <f>IF(ISERROR(I15/$G$4),0,I15/SUM($E$11:E15))</f>
        <v>10</v>
      </c>
    </row>
    <row r="16" spans="2:14" x14ac:dyDescent="0.2">
      <c r="B16" s="67"/>
      <c r="C16" s="106"/>
      <c r="D16" s="96"/>
      <c r="E16" s="83"/>
      <c r="F16" s="116"/>
      <c r="G16" s="99">
        <f t="shared" si="0"/>
        <v>0</v>
      </c>
      <c r="H16" s="69"/>
      <c r="I16" s="99">
        <f t="shared" si="1"/>
        <v>1000</v>
      </c>
      <c r="J16" s="149"/>
      <c r="K16" s="105">
        <f>IF(ISERROR(I16/$G$4),0,I16/SUM($E$11:E16))</f>
        <v>10</v>
      </c>
    </row>
    <row r="17" spans="2:12" x14ac:dyDescent="0.2">
      <c r="B17" s="67"/>
      <c r="C17" s="106"/>
      <c r="D17" s="96"/>
      <c r="E17" s="83"/>
      <c r="F17" s="116"/>
      <c r="G17" s="99">
        <f t="shared" si="0"/>
        <v>0</v>
      </c>
      <c r="H17" s="69"/>
      <c r="I17" s="99">
        <f t="shared" si="1"/>
        <v>1000</v>
      </c>
      <c r="J17" s="149"/>
      <c r="K17" s="105">
        <f>IF(ISERROR(I17/$G$4),0,I17/SUM($E$11:E17))</f>
        <v>10</v>
      </c>
    </row>
    <row r="18" spans="2:12" x14ac:dyDescent="0.2">
      <c r="B18" s="67"/>
      <c r="C18" s="106"/>
      <c r="D18" s="96"/>
      <c r="E18" s="83"/>
      <c r="F18" s="116"/>
      <c r="G18" s="99">
        <f t="shared" si="0"/>
        <v>0</v>
      </c>
      <c r="H18" s="69"/>
      <c r="I18" s="99">
        <f t="shared" si="1"/>
        <v>1000</v>
      </c>
      <c r="J18" s="149"/>
      <c r="K18" s="105">
        <f>IF(ISERROR(I18/$G$4),0,I18/SUM($E$11:E18))</f>
        <v>10</v>
      </c>
    </row>
    <row r="19" spans="2:12" x14ac:dyDescent="0.2">
      <c r="B19" s="67"/>
      <c r="C19" s="106"/>
      <c r="D19" s="96"/>
      <c r="E19" s="83"/>
      <c r="F19" s="116"/>
      <c r="G19" s="99">
        <f t="shared" si="0"/>
        <v>0</v>
      </c>
      <c r="H19" s="69"/>
      <c r="I19" s="99">
        <f t="shared" si="1"/>
        <v>1000</v>
      </c>
      <c r="J19" s="149"/>
      <c r="K19" s="105">
        <f>IF(ISERROR(I19/$G$4),0,I19/SUM($E$11:E19))</f>
        <v>10</v>
      </c>
    </row>
    <row r="20" spans="2:12" x14ac:dyDescent="0.2">
      <c r="B20" s="67"/>
      <c r="C20" s="106"/>
      <c r="D20" s="96"/>
      <c r="E20" s="83"/>
      <c r="F20" s="116"/>
      <c r="G20" s="99">
        <f t="shared" si="0"/>
        <v>0</v>
      </c>
      <c r="H20" s="69"/>
      <c r="I20" s="99">
        <f t="shared" si="1"/>
        <v>1000</v>
      </c>
      <c r="J20" s="149"/>
      <c r="K20" s="105">
        <f>IF(ISERROR(I20/$G$4),0,I20/SUM($E$11:E20))</f>
        <v>10</v>
      </c>
    </row>
    <row r="21" spans="2:12" x14ac:dyDescent="0.2">
      <c r="B21" s="67"/>
      <c r="C21" s="106"/>
      <c r="D21" s="96"/>
      <c r="E21" s="83"/>
      <c r="F21" s="116"/>
      <c r="G21" s="99">
        <f t="shared" si="0"/>
        <v>0</v>
      </c>
      <c r="H21" s="69"/>
      <c r="I21" s="99">
        <f t="shared" si="1"/>
        <v>1000</v>
      </c>
      <c r="J21" s="149"/>
      <c r="K21" s="105">
        <f>IF(ISERROR(I21/$G$4),0,I21/SUM($E$11:E21))</f>
        <v>10</v>
      </c>
    </row>
    <row r="22" spans="2:12" x14ac:dyDescent="0.2">
      <c r="B22" s="67"/>
      <c r="C22" s="106"/>
      <c r="D22" s="96"/>
      <c r="E22" s="83"/>
      <c r="F22" s="116"/>
      <c r="G22" s="99">
        <f t="shared" si="0"/>
        <v>0</v>
      </c>
      <c r="H22" s="69"/>
      <c r="I22" s="99">
        <f t="shared" si="1"/>
        <v>1000</v>
      </c>
      <c r="J22" s="149"/>
      <c r="K22" s="105">
        <f>IF(ISERROR(I22/$G$4),0,I22/SUM($E$11:E22))</f>
        <v>10</v>
      </c>
    </row>
    <row r="23" spans="2:12" x14ac:dyDescent="0.2">
      <c r="B23" s="67"/>
      <c r="C23" s="106"/>
      <c r="D23" s="96"/>
      <c r="E23" s="83"/>
      <c r="F23" s="116"/>
      <c r="G23" s="99">
        <f>E23*F23</f>
        <v>0</v>
      </c>
      <c r="H23" s="69"/>
      <c r="I23" s="99">
        <f>I14+G23</f>
        <v>1000</v>
      </c>
      <c r="J23" s="149"/>
      <c r="K23" s="105">
        <f>IF(ISERROR(I23/$G$4),0,I23/SUM($E$11:E23))</f>
        <v>10</v>
      </c>
    </row>
    <row r="24" spans="2:12" ht="19" x14ac:dyDescent="0.2">
      <c r="G24" s="135">
        <f>SUM(G11:G23)</f>
        <v>1000</v>
      </c>
      <c r="H24" s="69"/>
      <c r="I24" s="85"/>
      <c r="J24" s="149"/>
      <c r="K24" s="135">
        <f>SUM(G11:G23)/SUM(E11:E23)</f>
        <v>10</v>
      </c>
    </row>
    <row r="25" spans="2:12" ht="6" customHeight="1" x14ac:dyDescent="0.2">
      <c r="B25" s="117"/>
      <c r="C25" s="118"/>
      <c r="D25" s="119"/>
      <c r="E25" s="119"/>
      <c r="F25" s="120"/>
      <c r="G25" s="121"/>
      <c r="H25" s="122"/>
      <c r="I25" s="122"/>
      <c r="J25" s="151"/>
      <c r="K25" s="119"/>
    </row>
    <row r="26" spans="2:12" ht="6.5" customHeight="1" x14ac:dyDescent="0.2">
      <c r="B26" s="117"/>
      <c r="C26" s="118"/>
      <c r="D26" s="119"/>
      <c r="E26" s="119"/>
      <c r="F26" s="120"/>
      <c r="G26" s="121"/>
      <c r="H26" s="122"/>
      <c r="I26" s="122"/>
      <c r="J26" s="151"/>
      <c r="K26" s="119"/>
    </row>
    <row r="27" spans="2:12" ht="16" x14ac:dyDescent="0.2">
      <c r="B27" s="39" t="s">
        <v>18</v>
      </c>
      <c r="C27" s="106" t="d">
        <v>2024-03-20</v>
      </c>
      <c r="D27" s="107"/>
      <c r="E27" s="83"/>
      <c r="F27" s="101"/>
      <c r="G27" s="36">
        <v>-42</v>
      </c>
      <c r="H27" s="69"/>
      <c r="I27" s="124">
        <f>I23+G27</f>
        <v>958</v>
      </c>
      <c r="J27" s="149" t="s">
        <v>122</v>
      </c>
      <c r="K27" s="125">
        <f>I27/SUM($E$11:E27)</f>
        <v>9.58</v>
      </c>
    </row>
    <row r="28" spans="2:12" ht="17" customHeight="1" x14ac:dyDescent="0.2">
      <c r="B28" s="39" t="s">
        <v>17</v>
      </c>
      <c r="C28" s="106" t="d">
        <v>2024-05-31</v>
      </c>
      <c r="D28" s="107"/>
      <c r="E28" s="83"/>
      <c r="F28" s="101"/>
      <c r="G28" s="36">
        <v>-58</v>
      </c>
      <c r="H28" s="69"/>
      <c r="I28" s="124">
        <f t="shared" ref="I28:I37" si="2">I27+G28</f>
        <v>900</v>
      </c>
      <c r="J28" s="149" t="s">
        <v>10</v>
      </c>
      <c r="K28" s="125">
        <f>I28/SUM($E$11:E28)</f>
        <v>9</v>
      </c>
      <c r="L28" s="86" t="s">
        <v>247</v>
      </c>
    </row>
    <row r="29" spans="2:12" ht="16" x14ac:dyDescent="0.2">
      <c r="B29" s="39" t="s">
        <v>19</v>
      </c>
      <c r="C29" s="106" t="d">
        <v>2024-05-31</v>
      </c>
      <c r="D29" s="107"/>
      <c r="E29" s="83"/>
      <c r="F29" s="84"/>
      <c r="G29" s="36">
        <v>-43</v>
      </c>
      <c r="H29" s="69"/>
      <c r="I29" s="124">
        <f t="shared" si="2"/>
        <v>857</v>
      </c>
      <c r="J29" s="149" t="s">
        <v>10</v>
      </c>
      <c r="K29" s="125">
        <f>I29/SUM($E$11:E29)</f>
        <v>8.57</v>
      </c>
    </row>
    <row r="30" spans="2:12" ht="16" x14ac:dyDescent="0.2">
      <c r="B30" s="39" t="s">
        <v>40</v>
      </c>
      <c r="C30" s="106" t="d">
        <v>2024-06-06</v>
      </c>
      <c r="D30" s="107"/>
      <c r="E30" s="83"/>
      <c r="F30" s="84"/>
      <c r="G30" s="36">
        <v>-46</v>
      </c>
      <c r="H30" s="69"/>
      <c r="I30" s="124">
        <f t="shared" si="2"/>
        <v>811</v>
      </c>
      <c r="J30" s="149" t="s">
        <v>10</v>
      </c>
      <c r="K30" s="125">
        <f>I30/SUM($E$11:E30)</f>
        <v>8.11</v>
      </c>
    </row>
    <row r="31" spans="2:12" ht="16" x14ac:dyDescent="0.2">
      <c r="B31" s="39" t="s">
        <v>20</v>
      </c>
      <c r="C31" s="106" t="d">
        <v>2024-06-06</v>
      </c>
      <c r="D31" s="107"/>
      <c r="E31" s="83"/>
      <c r="F31" s="84"/>
      <c r="G31" s="36">
        <v>-10</v>
      </c>
      <c r="H31" s="69"/>
      <c r="I31" s="124">
        <f t="shared" si="2"/>
        <v>801</v>
      </c>
      <c r="J31" s="149" t="s">
        <v>10</v>
      </c>
      <c r="K31" s="125">
        <f>I31/SUM($E$11:E31)</f>
        <v>8.01</v>
      </c>
    </row>
    <row r="32" spans="2:12" ht="16" x14ac:dyDescent="0.2">
      <c r="B32" s="39" t="s">
        <v>41</v>
      </c>
      <c r="C32" s="106" t="d">
        <v>2024-06-26</v>
      </c>
      <c r="D32" s="107"/>
      <c r="E32" s="83"/>
      <c r="F32" s="84"/>
      <c r="G32" s="36">
        <v>380</v>
      </c>
      <c r="H32" s="69"/>
      <c r="I32" s="124">
        <f t="shared" si="2"/>
        <v>1181</v>
      </c>
      <c r="J32" s="149" t="s">
        <v>281</v>
      </c>
      <c r="K32" s="125">
        <f>I32/SUM($E$11:E32)</f>
        <v>11.81</v>
      </c>
      <c r="L32" s="86" t="s">
        <v>57</v>
      </c>
    </row>
    <row r="33" spans="2:11" ht="16" x14ac:dyDescent="0.2">
      <c r="B33" s="39" t="s">
        <v>44</v>
      </c>
      <c r="C33" s="106" t="d">
        <v>2024-07-25</v>
      </c>
      <c r="D33" s="107">
        <v>29</v>
      </c>
      <c r="E33" s="83"/>
      <c r="F33" s="84">
        <v>16.27</v>
      </c>
      <c r="G33" s="36">
        <v>-43</v>
      </c>
      <c r="H33" s="69"/>
      <c r="I33" s="124">
        <f t="shared" si="2"/>
        <v>1138</v>
      </c>
      <c r="J33" s="149" t="s">
        <v>10</v>
      </c>
      <c r="K33" s="125">
        <f>I33/SUM($E$11:E33)</f>
        <v>11.38</v>
      </c>
    </row>
    <row r="34" spans="2:11" ht="16" x14ac:dyDescent="0.2">
      <c r="B34" s="39" t="s">
        <v>42</v>
      </c>
      <c r="C34" s="106" t="d">
        <v>2024-07-25</v>
      </c>
      <c r="D34" s="107">
        <v>29</v>
      </c>
      <c r="E34" s="83"/>
      <c r="F34" s="84">
        <v>16.27</v>
      </c>
      <c r="G34" s="36">
        <v>-48</v>
      </c>
      <c r="H34" s="69"/>
      <c r="I34" s="124">
        <f t="shared" si="2"/>
        <v>1090</v>
      </c>
      <c r="J34" s="149" t="s">
        <v>10</v>
      </c>
      <c r="K34" s="125">
        <f>I34/SUM($E$11:E34)</f>
        <v>10.9</v>
      </c>
    </row>
    <row r="35" spans="2:11" ht="16" x14ac:dyDescent="0.2">
      <c r="B35" s="39" t="s">
        <v>43</v>
      </c>
      <c r="C35" s="106" t="d">
        <v>2024-07-25</v>
      </c>
      <c r="D35" s="107">
        <v>8</v>
      </c>
      <c r="E35" s="83"/>
      <c r="F35" s="84">
        <v>16.27</v>
      </c>
      <c r="G35" s="36">
        <v>-68</v>
      </c>
      <c r="H35" s="69"/>
      <c r="I35" s="124">
        <f t="shared" si="2"/>
        <v>1022</v>
      </c>
      <c r="J35" s="149" t="s">
        <v>10</v>
      </c>
      <c r="K35" s="125">
        <f>I35/SUM($E$11:E35)</f>
        <v>10.220000000000001</v>
      </c>
    </row>
    <row r="36" spans="2:11" ht="16" x14ac:dyDescent="0.2">
      <c r="B36" s="39" t="s">
        <v>55</v>
      </c>
      <c r="C36" s="106" t="d">
        <v>2024-09-03</v>
      </c>
      <c r="D36" s="107">
        <v>10</v>
      </c>
      <c r="E36" s="83"/>
      <c r="F36" s="84">
        <v>13.2</v>
      </c>
      <c r="G36" s="36">
        <v>-32</v>
      </c>
      <c r="H36" s="69"/>
      <c r="I36" s="124">
        <f t="shared" si="2"/>
        <v>990</v>
      </c>
      <c r="J36" s="149" t="s">
        <v>10</v>
      </c>
      <c r="K36" s="125">
        <f>I36/SUM($E$11:E36)</f>
        <v>9.9</v>
      </c>
    </row>
    <row r="37" spans="2:11" ht="16" x14ac:dyDescent="0.2">
      <c r="B37" s="39" t="s">
        <v>56</v>
      </c>
      <c r="C37" s="106" t="d">
        <v>2024-09-04</v>
      </c>
      <c r="D37" s="107">
        <v>24</v>
      </c>
      <c r="E37" s="83"/>
      <c r="F37" s="84">
        <v>13.2</v>
      </c>
      <c r="G37" s="36">
        <v>-50</v>
      </c>
      <c r="H37" s="69"/>
      <c r="I37" s="124">
        <f t="shared" si="2"/>
        <v>940</v>
      </c>
      <c r="J37" s="149" t="s">
        <v>10</v>
      </c>
      <c r="K37" s="125">
        <f>I37/SUM($E$11:E37)</f>
        <v>9.4</v>
      </c>
    </row>
    <row r="38" spans="2:11" ht="16" x14ac:dyDescent="0.2">
      <c r="B38" s="39" t="s">
        <v>91</v>
      </c>
      <c r="C38" s="106" t="d">
        <v>2024-09-23</v>
      </c>
      <c r="D38" s="107">
        <v>11</v>
      </c>
      <c r="E38" s="83"/>
      <c r="F38" s="84">
        <v>11.9</v>
      </c>
      <c r="G38" s="36">
        <f>-12*5</f>
        <v>-60</v>
      </c>
      <c r="H38" s="69"/>
      <c r="I38" s="124">
        <f t="shared" ref="I38:I117" si="3">I37+G38</f>
        <v>880</v>
      </c>
      <c r="J38" s="149" t="s">
        <v>10</v>
      </c>
      <c r="K38" s="125">
        <f>I38/SUM($E$11:E38)</f>
        <v>8.8000000000000007</v>
      </c>
    </row>
    <row r="39" spans="2:11" ht="16" x14ac:dyDescent="0.2">
      <c r="B39" s="39" t="s">
        <v>92</v>
      </c>
      <c r="C39" s="106" t="d">
        <v>2024-09-24</v>
      </c>
      <c r="D39" s="107">
        <v>3</v>
      </c>
      <c r="E39" s="83"/>
      <c r="F39" s="84"/>
      <c r="G39" s="36">
        <v>-32</v>
      </c>
      <c r="H39" s="69"/>
      <c r="I39" s="124">
        <f t="shared" si="3"/>
        <v>848</v>
      </c>
      <c r="J39" s="149" t="s">
        <v>10</v>
      </c>
      <c r="K39" s="125">
        <f>I39/SUM($E$11:E39)</f>
        <v>8.48</v>
      </c>
    </row>
    <row r="40" spans="2:11" ht="16" x14ac:dyDescent="0.2">
      <c r="B40" s="39" t="s">
        <v>93</v>
      </c>
      <c r="C40" s="106" t="d">
        <v>2024-10-01</v>
      </c>
      <c r="D40" s="107"/>
      <c r="E40" s="83"/>
      <c r="F40" s="84"/>
      <c r="G40" s="36">
        <v>-150</v>
      </c>
      <c r="H40" s="69"/>
      <c r="I40" s="124">
        <f t="shared" si="3"/>
        <v>698</v>
      </c>
      <c r="J40" s="149" t="s">
        <v>10</v>
      </c>
      <c r="K40" s="125">
        <f>I40/SUM($E$11:E40)</f>
        <v>6.98</v>
      </c>
    </row>
    <row r="41" spans="2:11" ht="16" x14ac:dyDescent="0.2">
      <c r="B41" s="39" t="s">
        <v>94</v>
      </c>
      <c r="C41" s="106" t="d">
        <v>2024-10-15</v>
      </c>
      <c r="D41" s="107"/>
      <c r="E41" s="83"/>
      <c r="F41" s="84"/>
      <c r="G41" s="36">
        <f>-20*6</f>
        <v>-120</v>
      </c>
      <c r="H41" s="69"/>
      <c r="I41" s="124">
        <f t="shared" si="3"/>
        <v>578</v>
      </c>
      <c r="J41" s="149" t="s">
        <v>10</v>
      </c>
      <c r="K41" s="125">
        <f>I41/SUM($E$11:E41)</f>
        <v>5.78</v>
      </c>
    </row>
    <row r="42" spans="2:11" ht="16" x14ac:dyDescent="0.2">
      <c r="B42" s="39" t="s">
        <v>95</v>
      </c>
      <c r="C42" s="106" t="d">
        <v>2024-10-15</v>
      </c>
      <c r="D42" s="107"/>
      <c r="E42" s="83"/>
      <c r="F42" s="84"/>
      <c r="G42" s="36">
        <f>-23*10</f>
        <v>-230</v>
      </c>
      <c r="H42" s="69"/>
      <c r="I42" s="124">
        <f t="shared" si="3"/>
        <v>348</v>
      </c>
      <c r="J42" s="149" t="s">
        <v>10</v>
      </c>
      <c r="K42" s="125">
        <f>I42/SUM($E$11:E42)</f>
        <v>3.48</v>
      </c>
    </row>
    <row r="43" spans="2:11" ht="16" x14ac:dyDescent="0.2">
      <c r="B43" s="39" t="s">
        <v>96</v>
      </c>
      <c r="C43" s="106" t="d">
        <v>2024-10-15</v>
      </c>
      <c r="D43" s="107"/>
      <c r="E43" s="83"/>
      <c r="F43" s="84"/>
      <c r="G43" s="36">
        <v>-10</v>
      </c>
      <c r="H43" s="69"/>
      <c r="I43" s="124">
        <f t="shared" si="3"/>
        <v>338</v>
      </c>
      <c r="J43" s="149" t="s">
        <v>10</v>
      </c>
      <c r="K43" s="125">
        <f>I43/SUM($E$11:E43)</f>
        <v>3.38</v>
      </c>
    </row>
    <row r="44" spans="2:11" ht="16" x14ac:dyDescent="0.2">
      <c r="B44" s="39" t="s">
        <v>110</v>
      </c>
      <c r="C44" s="106" t="d">
        <v>2024-10-30</v>
      </c>
      <c r="D44" s="107"/>
      <c r="E44" s="83"/>
      <c r="F44" s="84"/>
      <c r="G44" s="36">
        <v>-14</v>
      </c>
      <c r="H44" s="69"/>
      <c r="I44" s="124">
        <f t="shared" si="3"/>
        <v>324</v>
      </c>
      <c r="J44" s="149" t="s">
        <v>10</v>
      </c>
      <c r="K44" s="125">
        <f>I44/SUM($E$11:E44)</f>
        <v>3.24</v>
      </c>
    </row>
    <row r="45" spans="2:11" ht="16" x14ac:dyDescent="0.2">
      <c r="B45" s="39" t="s">
        <v>116</v>
      </c>
      <c r="C45" s="106" t="d">
        <v>2024-10-30</v>
      </c>
      <c r="D45" s="107"/>
      <c r="E45" s="83"/>
      <c r="F45" s="84"/>
      <c r="G45" s="36">
        <f>-6*10</f>
        <v>-60</v>
      </c>
      <c r="H45" s="69"/>
      <c r="I45" s="124">
        <f t="shared" si="3"/>
        <v>264</v>
      </c>
      <c r="J45" s="149" t="s">
        <v>10</v>
      </c>
      <c r="K45" s="125">
        <f>I45/SUM($E$11:E45)</f>
        <v>2.64</v>
      </c>
    </row>
    <row r="46" spans="2:11" ht="16" x14ac:dyDescent="0.2">
      <c r="B46" s="39" t="s">
        <v>137</v>
      </c>
      <c r="C46" s="106" t="d">
        <v>2024-11-11</v>
      </c>
      <c r="D46" s="107">
        <v>11</v>
      </c>
      <c r="E46" s="83"/>
      <c r="F46" s="84">
        <v>11.07</v>
      </c>
      <c r="G46" s="36">
        <f>-17*4</f>
        <v>-68</v>
      </c>
      <c r="H46" s="69"/>
      <c r="I46" s="124">
        <f t="shared" si="3"/>
        <v>196</v>
      </c>
      <c r="J46" s="149" t="s">
        <v>10</v>
      </c>
      <c r="K46" s="125">
        <f>I46/SUM($E$11:E46)</f>
        <v>1.96</v>
      </c>
    </row>
    <row r="47" spans="2:11" ht="16" x14ac:dyDescent="0.2">
      <c r="B47" s="39" t="s">
        <v>139</v>
      </c>
      <c r="C47" s="106" t="d">
        <v>2024-11-11</v>
      </c>
      <c r="D47" s="107">
        <v>4</v>
      </c>
      <c r="E47" s="83"/>
      <c r="F47" s="84">
        <v>11.07</v>
      </c>
      <c r="G47" s="36">
        <f>-6*9</f>
        <v>-54</v>
      </c>
      <c r="H47" s="69"/>
      <c r="I47" s="124">
        <f t="shared" si="3"/>
        <v>142</v>
      </c>
      <c r="J47" s="149" t="s">
        <v>10</v>
      </c>
      <c r="K47" s="125">
        <f>I47/SUM($E$11:E47)</f>
        <v>1.42</v>
      </c>
    </row>
    <row r="48" spans="2:11" ht="16" x14ac:dyDescent="0.2">
      <c r="B48" s="39" t="s">
        <v>143</v>
      </c>
      <c r="C48" s="106" t="d">
        <v>2024-11-18</v>
      </c>
      <c r="D48" s="107">
        <v>4</v>
      </c>
      <c r="E48" s="83"/>
      <c r="F48" s="84">
        <v>10.050000000000001</v>
      </c>
      <c r="G48" s="36">
        <f>-7*5</f>
        <v>-35</v>
      </c>
      <c r="H48" s="69"/>
      <c r="I48" s="124">
        <f t="shared" si="3"/>
        <v>107</v>
      </c>
      <c r="J48" s="149" t="s">
        <v>10</v>
      </c>
      <c r="K48" s="125">
        <f>I48/SUM($E$11:E48)</f>
        <v>1.07</v>
      </c>
    </row>
    <row r="49" spans="2:11" ht="16" x14ac:dyDescent="0.2">
      <c r="B49" s="39" t="s">
        <v>201</v>
      </c>
      <c r="C49" s="106" t="d">
        <v>2024-12-04</v>
      </c>
      <c r="D49" s="107"/>
      <c r="E49" s="83"/>
      <c r="F49" s="84"/>
      <c r="G49" s="36">
        <v>-120</v>
      </c>
      <c r="H49" s="69"/>
      <c r="I49" s="124">
        <f t="shared" si="3"/>
        <v>-13</v>
      </c>
      <c r="J49" s="149" t="s">
        <v>10</v>
      </c>
      <c r="K49" s="125">
        <f>I49/SUM($E$11:E49)</f>
        <v>-0.13</v>
      </c>
    </row>
    <row r="50" spans="2:11" ht="16" x14ac:dyDescent="0.2">
      <c r="B50" s="39" t="s">
        <v>202</v>
      </c>
      <c r="C50" s="106" t="d">
        <v>2024-12-04</v>
      </c>
      <c r="D50" s="107"/>
      <c r="E50" s="83"/>
      <c r="F50" s="84"/>
      <c r="G50" s="36">
        <v>-14</v>
      </c>
      <c r="H50" s="69"/>
      <c r="I50" s="124">
        <f t="shared" si="3"/>
        <v>-27</v>
      </c>
      <c r="J50" s="149" t="s">
        <v>10</v>
      </c>
      <c r="K50" s="125">
        <f>I50/SUM($E$11:E50)</f>
        <v>-0.27</v>
      </c>
    </row>
    <row r="51" spans="2:11" customFormat="1" ht="16" customHeight="1" x14ac:dyDescent="0.2">
      <c r="B51" s="39" t="s">
        <v>211</v>
      </c>
      <c r="C51" s="58" t="d">
        <v>2024-12-23</v>
      </c>
      <c r="D51" s="53"/>
      <c r="E51" s="17"/>
      <c r="F51" s="18">
        <v>13.9</v>
      </c>
      <c r="G51" s="36">
        <v>-7</v>
      </c>
      <c r="H51" s="20"/>
      <c r="I51" s="46">
        <f t="shared" si="3"/>
        <v>-34</v>
      </c>
      <c r="J51" s="152" t="s">
        <v>10</v>
      </c>
      <c r="K51" s="37">
        <f>I51/SUM($E$11:E51)</f>
        <v>-0.34</v>
      </c>
    </row>
    <row r="52" spans="2:11" ht="16" x14ac:dyDescent="0.2">
      <c r="B52" s="39" t="s">
        <v>220</v>
      </c>
      <c r="C52" s="106" t="d">
        <v>2025-01-06</v>
      </c>
      <c r="D52" s="107"/>
      <c r="E52" s="83"/>
      <c r="F52" s="84"/>
      <c r="G52" s="36">
        <v>-11</v>
      </c>
      <c r="H52" s="69"/>
      <c r="I52" s="124">
        <f t="shared" si="3"/>
        <v>-45</v>
      </c>
      <c r="J52" s="149" t="s">
        <v>10</v>
      </c>
      <c r="K52" s="125">
        <f>I52/SUM($E$11:E52)</f>
        <v>-0.45</v>
      </c>
    </row>
    <row r="53" spans="2:11" ht="16" x14ac:dyDescent="0.2">
      <c r="B53" s="39" t="s">
        <v>227</v>
      </c>
      <c r="C53" s="106" t="d">
        <v>2025-01-13</v>
      </c>
      <c r="D53" s="107"/>
      <c r="E53" s="83"/>
      <c r="F53" s="84">
        <v>13.5</v>
      </c>
      <c r="G53" s="36">
        <v>-12</v>
      </c>
      <c r="H53" s="69"/>
      <c r="I53" s="124">
        <f t="shared" si="3"/>
        <v>-57</v>
      </c>
      <c r="J53" s="149" t="s">
        <v>10</v>
      </c>
      <c r="K53" s="125">
        <f>I53/SUM($E$11:E53)</f>
        <v>-0.56999999999999995</v>
      </c>
    </row>
    <row r="54" spans="2:11" ht="16" x14ac:dyDescent="0.2">
      <c r="B54" s="39" t="s">
        <v>239</v>
      </c>
      <c r="C54" s="106" t="d">
        <v>2025-01-21</v>
      </c>
      <c r="D54" s="107"/>
      <c r="E54" s="83"/>
      <c r="F54" s="84">
        <v>13.25</v>
      </c>
      <c r="G54" s="36">
        <v>-15</v>
      </c>
      <c r="H54" s="69"/>
      <c r="I54" s="124">
        <f t="shared" si="3"/>
        <v>-72</v>
      </c>
      <c r="J54" s="149" t="s">
        <v>10</v>
      </c>
      <c r="K54" s="125">
        <f>I54/SUM($E$11:E54)</f>
        <v>-0.72</v>
      </c>
    </row>
    <row r="55" spans="2:11" ht="16" x14ac:dyDescent="0.2">
      <c r="B55" s="39" t="s">
        <v>246</v>
      </c>
      <c r="C55" s="106" t="d">
        <v>2025-01-27</v>
      </c>
      <c r="D55" s="107"/>
      <c r="E55" s="83"/>
      <c r="F55" s="84">
        <v>12.98</v>
      </c>
      <c r="G55" s="36">
        <v>-14</v>
      </c>
      <c r="H55" s="69"/>
      <c r="I55" s="124">
        <f t="shared" si="3"/>
        <v>-86</v>
      </c>
      <c r="J55" s="149" t="s">
        <v>10</v>
      </c>
      <c r="K55" s="125">
        <f>I55/SUM($E$11:E55)</f>
        <v>-0.86</v>
      </c>
    </row>
    <row r="56" spans="2:11" ht="16" x14ac:dyDescent="0.2">
      <c r="B56" s="39" t="s">
        <v>308</v>
      </c>
      <c r="C56" s="106" t="d">
        <v>2025-02-28</v>
      </c>
      <c r="D56" s="107"/>
      <c r="E56" s="83"/>
      <c r="F56" s="84"/>
      <c r="G56" s="36">
        <f>-6*7</f>
        <v>-42</v>
      </c>
      <c r="H56" s="69"/>
      <c r="I56" s="124">
        <f t="shared" si="3"/>
        <v>-128</v>
      </c>
      <c r="J56" s="149" t="s">
        <v>10</v>
      </c>
      <c r="K56" s="125">
        <f>I56/SUM($E$11:E56)</f>
        <v>-1.28</v>
      </c>
    </row>
    <row r="57" spans="2:11" ht="16" x14ac:dyDescent="0.2">
      <c r="B57" s="39" t="s">
        <v>309</v>
      </c>
      <c r="C57" s="106" t="d">
        <v>2025-03-03</v>
      </c>
      <c r="D57" s="107"/>
      <c r="E57" s="83"/>
      <c r="F57" s="84"/>
      <c r="G57" s="36">
        <v>-4</v>
      </c>
      <c r="H57" s="69"/>
      <c r="I57" s="124">
        <f t="shared" si="3"/>
        <v>-132</v>
      </c>
      <c r="J57" s="149" t="s">
        <v>10</v>
      </c>
      <c r="K57" s="125">
        <f>I57/SUM($E$11:E57)</f>
        <v>-1.32</v>
      </c>
    </row>
    <row r="58" spans="2:11" ht="16" x14ac:dyDescent="0.2">
      <c r="B58" s="39" t="s">
        <v>310</v>
      </c>
      <c r="C58" s="106" t="d">
        <v>2025-03-04</v>
      </c>
      <c r="D58" s="107"/>
      <c r="E58" s="83"/>
      <c r="F58" s="84"/>
      <c r="G58" s="36">
        <v>-8</v>
      </c>
      <c r="H58" s="69"/>
      <c r="I58" s="124">
        <f t="shared" si="3"/>
        <v>-140</v>
      </c>
      <c r="J58" s="149" t="s">
        <v>10</v>
      </c>
      <c r="K58" s="125">
        <f>I58/SUM($E$11:E58)</f>
        <v>-1.4</v>
      </c>
    </row>
    <row r="59" spans="2:11" ht="16" x14ac:dyDescent="0.2">
      <c r="B59" s="39" t="s">
        <v>311</v>
      </c>
      <c r="C59" s="106" t="d">
        <v>2025-03-10</v>
      </c>
      <c r="D59" s="107"/>
      <c r="E59" s="83"/>
      <c r="F59" s="84"/>
      <c r="G59" s="36">
        <v>-25</v>
      </c>
      <c r="H59" s="69"/>
      <c r="I59" s="124">
        <f t="shared" si="3"/>
        <v>-165</v>
      </c>
      <c r="J59" s="149" t="s">
        <v>10</v>
      </c>
      <c r="K59" s="125">
        <f>I59/SUM($E$11:E59)</f>
        <v>-1.65</v>
      </c>
    </row>
    <row r="60" spans="2:11" ht="16" x14ac:dyDescent="0.2">
      <c r="B60" s="39" t="s">
        <v>354</v>
      </c>
      <c r="C60" s="106" t="d">
        <v>2025-03-21</v>
      </c>
      <c r="D60" s="107"/>
      <c r="E60" s="83"/>
      <c r="F60" s="84"/>
      <c r="G60" s="36">
        <v>-50</v>
      </c>
      <c r="H60" s="69"/>
      <c r="I60" s="124">
        <f t="shared" si="3"/>
        <v>-215</v>
      </c>
      <c r="J60" s="149" t="s">
        <v>10</v>
      </c>
      <c r="K60" s="125">
        <f>I60/SUM($E$11:E60)</f>
        <v>-2.15</v>
      </c>
    </row>
    <row r="61" spans="2:11" ht="16" x14ac:dyDescent="0.2">
      <c r="B61" s="39" t="s">
        <v>355</v>
      </c>
      <c r="C61" s="106" t="d">
        <v>2025-04-04</v>
      </c>
      <c r="D61" s="107"/>
      <c r="E61" s="83"/>
      <c r="F61" s="84"/>
      <c r="G61" s="36">
        <v>-70</v>
      </c>
      <c r="H61" s="69"/>
      <c r="I61" s="124">
        <f t="shared" si="3"/>
        <v>-285</v>
      </c>
      <c r="J61" s="149" t="s">
        <v>10</v>
      </c>
      <c r="K61" s="125">
        <f>I61/SUM($E$11:E61)</f>
        <v>-2.85</v>
      </c>
    </row>
    <row r="62" spans="2:11" ht="16" x14ac:dyDescent="0.2">
      <c r="B62" s="39" t="s">
        <v>356</v>
      </c>
      <c r="C62" s="106" t="d">
        <v>2025-04-21</v>
      </c>
      <c r="D62" s="107"/>
      <c r="E62" s="83"/>
      <c r="F62" s="84"/>
      <c r="G62" s="36">
        <v>-60</v>
      </c>
      <c r="H62" s="69"/>
      <c r="I62" s="124">
        <f t="shared" si="3"/>
        <v>-345</v>
      </c>
      <c r="J62" s="149" t="s">
        <v>10</v>
      </c>
      <c r="K62" s="125">
        <f>I62/SUM($E$11:E62)</f>
        <v>-3.45</v>
      </c>
    </row>
    <row r="63" spans="2:11" ht="16" x14ac:dyDescent="0.2">
      <c r="B63" s="39" t="s">
        <v>411</v>
      </c>
      <c r="C63" s="106" t="d">
        <v>2025-05-06</v>
      </c>
      <c r="D63" s="107"/>
      <c r="E63" s="83"/>
      <c r="F63" s="84"/>
      <c r="G63" s="36">
        <v>-60</v>
      </c>
      <c r="H63" s="69"/>
      <c r="I63" s="124">
        <f t="shared" si="3"/>
        <v>-405</v>
      </c>
      <c r="J63" s="149" t="s">
        <v>10</v>
      </c>
      <c r="K63" s="125">
        <f>I63/SUM($E$11:E63)</f>
        <v>-4.05</v>
      </c>
    </row>
    <row r="64" spans="2:11" ht="16" x14ac:dyDescent="0.2">
      <c r="B64" s="39" t="s">
        <v>455</v>
      </c>
      <c r="C64" s="106" t="d">
        <v>2025-06-23</v>
      </c>
      <c r="D64" s="107"/>
      <c r="E64" s="83"/>
      <c r="F64" s="84"/>
      <c r="G64" s="36">
        <v>-70</v>
      </c>
      <c r="H64" s="69"/>
      <c r="I64" s="124">
        <f t="shared" si="3"/>
        <v>-475</v>
      </c>
      <c r="J64" s="149" t="s">
        <v>10</v>
      </c>
      <c r="K64" s="125">
        <f>I64/SUM($E$11:E64)</f>
        <v>-4.75</v>
      </c>
    </row>
    <row r="65" spans="2:11" ht="16" x14ac:dyDescent="0.2">
      <c r="B65" s="39" t="s">
        <v>551</v>
      </c>
      <c r="C65" s="106" t="d">
        <v>2025-07-01</v>
      </c>
      <c r="D65" s="107"/>
      <c r="E65" s="83"/>
      <c r="F65" s="84"/>
      <c r="G65" s="36">
        <v>-70</v>
      </c>
      <c r="H65" s="69"/>
      <c r="I65" s="124">
        <f t="shared" si="3"/>
        <v>-545</v>
      </c>
      <c r="J65" s="149" t="s">
        <v>10</v>
      </c>
      <c r="K65" s="125">
        <f>I65/SUM($E$11:E65)</f>
        <v>-5.45</v>
      </c>
    </row>
    <row r="66" spans="2:11" ht="16" x14ac:dyDescent="0.2">
      <c r="B66" s="39" t="s">
        <v>551</v>
      </c>
      <c r="C66" s="106" t="d">
        <v>2025-07-02</v>
      </c>
      <c r="D66" s="107"/>
      <c r="E66" s="83"/>
      <c r="F66" s="84"/>
      <c r="G66" s="36">
        <v>-70</v>
      </c>
      <c r="H66" s="69"/>
      <c r="I66" s="124">
        <f t="shared" si="3"/>
        <v>-615</v>
      </c>
      <c r="J66" s="149" t="s">
        <v>10</v>
      </c>
      <c r="K66" s="125">
        <f>I66/SUM($E$11:E66)</f>
        <v>-6.15</v>
      </c>
    </row>
    <row r="67" spans="2:11" ht="16" x14ac:dyDescent="0.2">
      <c r="B67" s="39" t="s">
        <v>552</v>
      </c>
      <c r="C67" s="106" t="d">
        <v>2025-07-21</v>
      </c>
      <c r="D67" s="107"/>
      <c r="E67" s="83"/>
      <c r="F67" s="84"/>
      <c r="G67" s="36">
        <v>-120</v>
      </c>
      <c r="H67" s="69"/>
      <c r="I67" s="124">
        <f t="shared" si="3"/>
        <v>-735</v>
      </c>
      <c r="J67" s="149" t="s">
        <v>10</v>
      </c>
      <c r="K67" s="125">
        <f>I67/SUM($E$11:E67)</f>
        <v>-7.35</v>
      </c>
    </row>
    <row r="68" spans="2:11" ht="16" x14ac:dyDescent="0.2">
      <c r="B68" s="39" t="s">
        <v>553</v>
      </c>
      <c r="C68" s="106" t="d">
        <v>2025-07-30</v>
      </c>
      <c r="D68" s="107"/>
      <c r="E68" s="83"/>
      <c r="F68" s="84"/>
      <c r="G68" s="36">
        <v>-60</v>
      </c>
      <c r="H68" s="69"/>
      <c r="I68" s="124">
        <f t="shared" si="3"/>
        <v>-795</v>
      </c>
      <c r="J68" s="149" t="s">
        <v>10</v>
      </c>
      <c r="K68" s="125">
        <f>I68/SUM($E$11:E68)</f>
        <v>-7.95</v>
      </c>
    </row>
    <row r="69" spans="2:11" ht="16" x14ac:dyDescent="0.2">
      <c r="B69" s="39" t="s">
        <v>554</v>
      </c>
      <c r="C69" s="106" t="d">
        <v>2025-08-26</v>
      </c>
      <c r="D69" s="107"/>
      <c r="E69" s="83"/>
      <c r="F69" s="84"/>
      <c r="G69" s="36">
        <v>-9</v>
      </c>
      <c r="H69" s="69"/>
      <c r="I69" s="124">
        <f t="shared" si="3"/>
        <v>-804</v>
      </c>
      <c r="J69" s="149" t="s">
        <v>10</v>
      </c>
      <c r="K69" s="125">
        <f>I69/SUM($E$11:E69)</f>
        <v>-8.0399999999999991</v>
      </c>
    </row>
    <row r="70" spans="2:11" ht="16" x14ac:dyDescent="0.2">
      <c r="B70" s="39" t="s">
        <v>573</v>
      </c>
      <c r="C70" s="106" t="d">
        <v>2025-09-09</v>
      </c>
      <c r="D70" s="107"/>
      <c r="E70" s="83"/>
      <c r="F70" s="84"/>
      <c r="G70" s="36">
        <v>-11</v>
      </c>
      <c r="H70" s="69"/>
      <c r="I70" s="124">
        <f t="shared" si="3"/>
        <v>-815</v>
      </c>
      <c r="J70" s="149" t="s">
        <v>10</v>
      </c>
      <c r="K70" s="125">
        <f>I70/SUM($E$11:E70)</f>
        <v>-8.15</v>
      </c>
    </row>
    <row r="71" spans="2:11" ht="16" x14ac:dyDescent="0.2">
      <c r="B71" s="39" t="s">
        <v>574</v>
      </c>
      <c r="C71" s="106" t="d">
        <v>2025-09-23</v>
      </c>
      <c r="D71" s="107"/>
      <c r="E71" s="83"/>
      <c r="F71" s="84"/>
      <c r="G71" s="36">
        <v>-11</v>
      </c>
      <c r="H71" s="69"/>
      <c r="I71" s="124">
        <f t="shared" si="3"/>
        <v>-826</v>
      </c>
      <c r="J71" s="149"/>
      <c r="K71" s="125">
        <f>I71/SUM($E$11:E71)</f>
        <v>-8.26</v>
      </c>
    </row>
    <row r="72" spans="2:11" ht="16" x14ac:dyDescent="0.2">
      <c r="B72" s="39" t="s">
        <v>575</v>
      </c>
      <c r="C72" s="106" t="d">
        <v>2025-09-23</v>
      </c>
      <c r="D72" s="107"/>
      <c r="E72" s="83"/>
      <c r="F72" s="84"/>
      <c r="G72" s="36">
        <v>-100</v>
      </c>
      <c r="H72" s="69"/>
      <c r="I72" s="124">
        <f t="shared" si="3"/>
        <v>-926</v>
      </c>
      <c r="J72" s="149"/>
      <c r="K72" s="125">
        <f>I72/SUM($E$11:E72)</f>
        <v>-9.26</v>
      </c>
    </row>
    <row r="73" spans="2:11" x14ac:dyDescent="0.2">
      <c r="B73" s="39"/>
      <c r="C73" s="106"/>
      <c r="D73" s="107"/>
      <c r="E73" s="83"/>
      <c r="F73" s="84"/>
      <c r="G73" s="36"/>
      <c r="H73" s="69"/>
      <c r="I73" s="124">
        <f t="shared" si="3"/>
        <v>-926</v>
      </c>
      <c r="J73" s="149"/>
      <c r="K73" s="125">
        <f>I73/SUM($E$11:E73)</f>
        <v>-9.26</v>
      </c>
    </row>
    <row r="74" spans="2:11" x14ac:dyDescent="0.2">
      <c r="B74" s="39"/>
      <c r="C74" s="106"/>
      <c r="D74" s="107"/>
      <c r="E74" s="83"/>
      <c r="F74" s="84"/>
      <c r="G74" s="36"/>
      <c r="H74" s="69"/>
      <c r="I74" s="124">
        <f t="shared" si="3"/>
        <v>-926</v>
      </c>
      <c r="J74" s="149"/>
      <c r="K74" s="125">
        <f>I74/SUM($E$11:E74)</f>
        <v>-9.26</v>
      </c>
    </row>
    <row r="75" spans="2:11" x14ac:dyDescent="0.2">
      <c r="B75" s="39"/>
      <c r="C75" s="106"/>
      <c r="D75" s="107"/>
      <c r="E75" s="83"/>
      <c r="F75" s="84"/>
      <c r="G75" s="36"/>
      <c r="H75" s="69"/>
      <c r="I75" s="124">
        <f t="shared" si="3"/>
        <v>-926</v>
      </c>
      <c r="J75" s="149"/>
      <c r="K75" s="125">
        <f>I75/SUM($E$11:E75)</f>
        <v>-9.26</v>
      </c>
    </row>
    <row r="76" spans="2:11" x14ac:dyDescent="0.2">
      <c r="B76" s="39"/>
      <c r="C76" s="106"/>
      <c r="D76" s="107"/>
      <c r="E76" s="83"/>
      <c r="F76" s="84"/>
      <c r="G76" s="36"/>
      <c r="H76" s="69"/>
      <c r="I76" s="124">
        <f t="shared" si="3"/>
        <v>-926</v>
      </c>
      <c r="J76" s="149"/>
      <c r="K76" s="125">
        <f>I76/SUM($E$11:E76)</f>
        <v>-9.26</v>
      </c>
    </row>
    <row r="77" spans="2:11" x14ac:dyDescent="0.2">
      <c r="B77" s="39"/>
      <c r="C77" s="106"/>
      <c r="D77" s="107"/>
      <c r="E77" s="83"/>
      <c r="F77" s="84"/>
      <c r="G77" s="36"/>
      <c r="H77" s="69"/>
      <c r="I77" s="124">
        <f t="shared" si="3"/>
        <v>-926</v>
      </c>
      <c r="J77" s="149"/>
      <c r="K77" s="125">
        <f>I77/SUM($E$11:E77)</f>
        <v>-9.26</v>
      </c>
    </row>
    <row r="78" spans="2:11" x14ac:dyDescent="0.2">
      <c r="B78" s="39"/>
      <c r="C78" s="106"/>
      <c r="D78" s="107"/>
      <c r="E78" s="83"/>
      <c r="F78" s="84"/>
      <c r="G78" s="36"/>
      <c r="H78" s="69"/>
      <c r="I78" s="124">
        <f t="shared" si="3"/>
        <v>-926</v>
      </c>
      <c r="J78" s="149"/>
      <c r="K78" s="125">
        <f>I78/SUM($E$11:E78)</f>
        <v>-9.26</v>
      </c>
    </row>
    <row r="79" spans="2:11" x14ac:dyDescent="0.2">
      <c r="B79" s="39"/>
      <c r="C79" s="106"/>
      <c r="D79" s="107"/>
      <c r="E79" s="83"/>
      <c r="F79" s="84"/>
      <c r="G79" s="36"/>
      <c r="H79" s="69"/>
      <c r="I79" s="124">
        <f t="shared" si="3"/>
        <v>-926</v>
      </c>
      <c r="J79" s="149"/>
      <c r="K79" s="125">
        <f>I79/SUM($E$11:E79)</f>
        <v>-9.26</v>
      </c>
    </row>
    <row r="80" spans="2:11" x14ac:dyDescent="0.2">
      <c r="B80" s="39"/>
      <c r="C80" s="106"/>
      <c r="D80" s="107"/>
      <c r="E80" s="83"/>
      <c r="F80" s="84"/>
      <c r="G80" s="36"/>
      <c r="H80" s="69"/>
      <c r="I80" s="124">
        <f t="shared" si="3"/>
        <v>-926</v>
      </c>
      <c r="J80" s="149"/>
      <c r="K80" s="125">
        <f>I80/SUM($E$11:E80)</f>
        <v>-9.26</v>
      </c>
    </row>
    <row r="81" spans="2:11" x14ac:dyDescent="0.2">
      <c r="B81" s="39"/>
      <c r="C81" s="106"/>
      <c r="D81" s="107"/>
      <c r="E81" s="83"/>
      <c r="F81" s="84"/>
      <c r="G81" s="36"/>
      <c r="H81" s="69"/>
      <c r="I81" s="124">
        <f t="shared" si="3"/>
        <v>-926</v>
      </c>
      <c r="J81" s="149"/>
      <c r="K81" s="125">
        <f>I81/SUM($E$11:E81)</f>
        <v>-9.26</v>
      </c>
    </row>
    <row r="82" spans="2:11" x14ac:dyDescent="0.2">
      <c r="B82" s="39"/>
      <c r="C82" s="106"/>
      <c r="D82" s="107"/>
      <c r="E82" s="83"/>
      <c r="F82" s="84"/>
      <c r="G82" s="36"/>
      <c r="H82" s="69"/>
      <c r="I82" s="124">
        <f t="shared" si="3"/>
        <v>-926</v>
      </c>
      <c r="J82" s="149"/>
      <c r="K82" s="125">
        <f>I82/SUM($E$11:E82)</f>
        <v>-9.26</v>
      </c>
    </row>
    <row r="83" spans="2:11" x14ac:dyDescent="0.2">
      <c r="B83" s="39"/>
      <c r="C83" s="106"/>
      <c r="D83" s="107"/>
      <c r="E83" s="83"/>
      <c r="F83" s="84"/>
      <c r="G83" s="36"/>
      <c r="H83" s="69"/>
      <c r="I83" s="124">
        <f t="shared" si="3"/>
        <v>-926</v>
      </c>
      <c r="J83" s="149"/>
      <c r="K83" s="125">
        <f>I83/SUM($E$11:E83)</f>
        <v>-9.26</v>
      </c>
    </row>
    <row r="84" spans="2:11" x14ac:dyDescent="0.2">
      <c r="B84" s="39"/>
      <c r="C84" s="106"/>
      <c r="D84" s="107"/>
      <c r="E84" s="83"/>
      <c r="F84" s="84"/>
      <c r="G84" s="36"/>
      <c r="H84" s="69"/>
      <c r="I84" s="124">
        <f t="shared" si="3"/>
        <v>-926</v>
      </c>
      <c r="J84" s="149"/>
      <c r="K84" s="125">
        <f>I84/SUM($E$11:E84)</f>
        <v>-9.26</v>
      </c>
    </row>
    <row r="85" spans="2:11" x14ac:dyDescent="0.2">
      <c r="B85" s="39"/>
      <c r="C85" s="106"/>
      <c r="D85" s="107"/>
      <c r="E85" s="83"/>
      <c r="F85" s="84"/>
      <c r="G85" s="36"/>
      <c r="H85" s="69"/>
      <c r="I85" s="124">
        <f t="shared" si="3"/>
        <v>-926</v>
      </c>
      <c r="J85" s="149"/>
      <c r="K85" s="125">
        <f>I85/SUM($E$11:E85)</f>
        <v>-9.26</v>
      </c>
    </row>
    <row r="86" spans="2:11" x14ac:dyDescent="0.2">
      <c r="B86" s="39"/>
      <c r="C86" s="106"/>
      <c r="D86" s="107"/>
      <c r="E86" s="83"/>
      <c r="F86" s="84"/>
      <c r="G86" s="36"/>
      <c r="H86" s="69"/>
      <c r="I86" s="124">
        <f t="shared" si="3"/>
        <v>-926</v>
      </c>
      <c r="J86" s="149"/>
      <c r="K86" s="125">
        <f>I86/SUM($E$11:E86)</f>
        <v>-9.26</v>
      </c>
    </row>
    <row r="87" spans="2:11" x14ac:dyDescent="0.2">
      <c r="B87" s="39"/>
      <c r="C87" s="106"/>
      <c r="D87" s="107"/>
      <c r="E87" s="83"/>
      <c r="F87" s="84"/>
      <c r="G87" s="36"/>
      <c r="H87" s="69"/>
      <c r="I87" s="124">
        <f t="shared" si="3"/>
        <v>-926</v>
      </c>
      <c r="J87" s="149"/>
      <c r="K87" s="125">
        <f>I87/SUM($E$11:E87)</f>
        <v>-9.26</v>
      </c>
    </row>
    <row r="88" spans="2:11" x14ac:dyDescent="0.2">
      <c r="B88" s="39"/>
      <c r="C88" s="106"/>
      <c r="D88" s="107"/>
      <c r="E88" s="83"/>
      <c r="F88" s="84"/>
      <c r="G88" s="36"/>
      <c r="H88" s="69"/>
      <c r="I88" s="124">
        <f t="shared" si="3"/>
        <v>-926</v>
      </c>
      <c r="J88" s="149"/>
      <c r="K88" s="125">
        <f>I88/SUM($E$11:E88)</f>
        <v>-9.26</v>
      </c>
    </row>
    <row r="89" spans="2:11" x14ac:dyDescent="0.2">
      <c r="B89" s="39"/>
      <c r="C89" s="106"/>
      <c r="D89" s="107"/>
      <c r="E89" s="83"/>
      <c r="F89" s="84"/>
      <c r="G89" s="36"/>
      <c r="H89" s="69"/>
      <c r="I89" s="124">
        <f t="shared" si="3"/>
        <v>-926</v>
      </c>
      <c r="J89" s="149"/>
      <c r="K89" s="125">
        <f>I89/SUM($E$11:E89)</f>
        <v>-9.26</v>
      </c>
    </row>
    <row r="90" spans="2:11" x14ac:dyDescent="0.2">
      <c r="B90" s="39"/>
      <c r="C90" s="106"/>
      <c r="D90" s="107"/>
      <c r="E90" s="83"/>
      <c r="F90" s="84"/>
      <c r="G90" s="36"/>
      <c r="H90" s="69"/>
      <c r="I90" s="124">
        <f t="shared" si="3"/>
        <v>-926</v>
      </c>
      <c r="J90" s="149"/>
      <c r="K90" s="125">
        <f>I90/SUM($E$11:E90)</f>
        <v>-9.26</v>
      </c>
    </row>
    <row r="91" spans="2:11" x14ac:dyDescent="0.2">
      <c r="B91" s="39"/>
      <c r="C91" s="106"/>
      <c r="D91" s="107"/>
      <c r="E91" s="83"/>
      <c r="F91" s="84"/>
      <c r="G91" s="36"/>
      <c r="H91" s="69"/>
      <c r="I91" s="124">
        <f t="shared" si="3"/>
        <v>-926</v>
      </c>
      <c r="J91" s="149"/>
      <c r="K91" s="125">
        <f>I91/SUM($E$11:E91)</f>
        <v>-9.26</v>
      </c>
    </row>
    <row r="92" spans="2:11" x14ac:dyDescent="0.2">
      <c r="B92" s="39"/>
      <c r="C92" s="106"/>
      <c r="D92" s="107"/>
      <c r="E92" s="83"/>
      <c r="F92" s="84"/>
      <c r="G92" s="36"/>
      <c r="H92" s="69"/>
      <c r="I92" s="124">
        <f t="shared" si="3"/>
        <v>-926</v>
      </c>
      <c r="J92" s="149"/>
      <c r="K92" s="125">
        <f>I92/SUM($E$11:E92)</f>
        <v>-9.26</v>
      </c>
    </row>
    <row r="93" spans="2:11" x14ac:dyDescent="0.2">
      <c r="B93" s="39"/>
      <c r="C93" s="106"/>
      <c r="D93" s="107"/>
      <c r="E93" s="83"/>
      <c r="F93" s="84"/>
      <c r="G93" s="36"/>
      <c r="H93" s="69"/>
      <c r="I93" s="124">
        <f t="shared" si="3"/>
        <v>-926</v>
      </c>
      <c r="J93" s="149"/>
      <c r="K93" s="125">
        <f>I93/SUM($E$11:E93)</f>
        <v>-9.26</v>
      </c>
    </row>
    <row r="94" spans="2:11" x14ac:dyDescent="0.2">
      <c r="B94" s="39"/>
      <c r="C94" s="106"/>
      <c r="D94" s="107"/>
      <c r="E94" s="83"/>
      <c r="F94" s="84"/>
      <c r="G94" s="36"/>
      <c r="H94" s="69"/>
      <c r="I94" s="124">
        <f t="shared" si="3"/>
        <v>-926</v>
      </c>
      <c r="J94" s="149"/>
      <c r="K94" s="125">
        <f>I94/SUM($E$11:E94)</f>
        <v>-9.26</v>
      </c>
    </row>
    <row r="95" spans="2:11" x14ac:dyDescent="0.2">
      <c r="B95" s="39"/>
      <c r="C95" s="106"/>
      <c r="D95" s="107"/>
      <c r="E95" s="83"/>
      <c r="F95" s="84"/>
      <c r="G95" s="36"/>
      <c r="H95" s="69"/>
      <c r="I95" s="124">
        <f t="shared" si="3"/>
        <v>-926</v>
      </c>
      <c r="J95" s="149"/>
      <c r="K95" s="125">
        <f>I95/SUM($E$11:E95)</f>
        <v>-9.26</v>
      </c>
    </row>
    <row r="96" spans="2:11" x14ac:dyDescent="0.2">
      <c r="B96" s="39"/>
      <c r="C96" s="106"/>
      <c r="D96" s="107"/>
      <c r="E96" s="83"/>
      <c r="F96" s="84"/>
      <c r="G96" s="36"/>
      <c r="H96" s="69"/>
      <c r="I96" s="124">
        <f t="shared" si="3"/>
        <v>-926</v>
      </c>
      <c r="J96" s="149"/>
      <c r="K96" s="125">
        <f>I96/SUM($E$11:E96)</f>
        <v>-9.26</v>
      </c>
    </row>
    <row r="97" spans="2:11" x14ac:dyDescent="0.2">
      <c r="B97" s="39"/>
      <c r="C97" s="106"/>
      <c r="D97" s="107"/>
      <c r="E97" s="83"/>
      <c r="F97" s="84"/>
      <c r="G97" s="36"/>
      <c r="H97" s="69"/>
      <c r="I97" s="124">
        <f t="shared" si="3"/>
        <v>-926</v>
      </c>
      <c r="J97" s="149"/>
      <c r="K97" s="125">
        <f>I97/SUM($E$11:E97)</f>
        <v>-9.26</v>
      </c>
    </row>
    <row r="98" spans="2:11" x14ac:dyDescent="0.2">
      <c r="B98" s="39"/>
      <c r="C98" s="106"/>
      <c r="D98" s="107"/>
      <c r="E98" s="83"/>
      <c r="F98" s="84"/>
      <c r="G98" s="36"/>
      <c r="H98" s="69"/>
      <c r="I98" s="124">
        <f t="shared" si="3"/>
        <v>-926</v>
      </c>
      <c r="J98" s="149"/>
      <c r="K98" s="125">
        <f>I98/SUM($E$11:E98)</f>
        <v>-9.26</v>
      </c>
    </row>
    <row r="99" spans="2:11" x14ac:dyDescent="0.2">
      <c r="B99" s="39"/>
      <c r="C99" s="106"/>
      <c r="D99" s="107"/>
      <c r="E99" s="83"/>
      <c r="F99" s="84"/>
      <c r="G99" s="36"/>
      <c r="H99" s="69"/>
      <c r="I99" s="124">
        <f t="shared" si="3"/>
        <v>-926</v>
      </c>
      <c r="J99" s="149"/>
      <c r="K99" s="125">
        <f>I99/SUM($E$11:E99)</f>
        <v>-9.26</v>
      </c>
    </row>
    <row r="100" spans="2:11" x14ac:dyDescent="0.2">
      <c r="B100" s="39"/>
      <c r="C100" s="106"/>
      <c r="D100" s="107"/>
      <c r="E100" s="83"/>
      <c r="F100" s="84"/>
      <c r="G100" s="36"/>
      <c r="H100" s="69"/>
      <c r="I100" s="124">
        <f t="shared" si="3"/>
        <v>-926</v>
      </c>
      <c r="J100" s="149"/>
      <c r="K100" s="125">
        <f>I100/SUM($E$11:E100)</f>
        <v>-9.26</v>
      </c>
    </row>
    <row r="101" spans="2:11" x14ac:dyDescent="0.2">
      <c r="B101" s="39"/>
      <c r="C101" s="106"/>
      <c r="D101" s="107"/>
      <c r="E101" s="83"/>
      <c r="F101" s="84"/>
      <c r="G101" s="36"/>
      <c r="H101" s="69"/>
      <c r="I101" s="124">
        <f t="shared" si="3"/>
        <v>-926</v>
      </c>
      <c r="J101" s="149"/>
      <c r="K101" s="125">
        <f>I101/SUM($E$11:E101)</f>
        <v>-9.26</v>
      </c>
    </row>
    <row r="102" spans="2:11" x14ac:dyDescent="0.2">
      <c r="B102" s="39"/>
      <c r="C102" s="106"/>
      <c r="D102" s="107"/>
      <c r="E102" s="83"/>
      <c r="F102" s="84"/>
      <c r="G102" s="36"/>
      <c r="H102" s="69"/>
      <c r="I102" s="124">
        <f t="shared" si="3"/>
        <v>-926</v>
      </c>
      <c r="J102" s="149"/>
      <c r="K102" s="125">
        <f>I102/SUM($E$11:E102)</f>
        <v>-9.26</v>
      </c>
    </row>
    <row r="103" spans="2:11" x14ac:dyDescent="0.2">
      <c r="B103" s="39"/>
      <c r="C103" s="106"/>
      <c r="D103" s="107"/>
      <c r="E103" s="83"/>
      <c r="F103" s="84"/>
      <c r="G103" s="36"/>
      <c r="H103" s="69"/>
      <c r="I103" s="124">
        <f t="shared" si="3"/>
        <v>-926</v>
      </c>
      <c r="J103" s="149"/>
      <c r="K103" s="125">
        <f>I103/SUM($E$11:E103)</f>
        <v>-9.26</v>
      </c>
    </row>
    <row r="104" spans="2:11" x14ac:dyDescent="0.2">
      <c r="B104" s="39"/>
      <c r="C104" s="106"/>
      <c r="D104" s="107"/>
      <c r="E104" s="83"/>
      <c r="F104" s="84"/>
      <c r="G104" s="36"/>
      <c r="H104" s="69"/>
      <c r="I104" s="124">
        <f t="shared" si="3"/>
        <v>-926</v>
      </c>
      <c r="J104" s="149"/>
      <c r="K104" s="125">
        <f>I104/SUM($E$11:E104)</f>
        <v>-9.26</v>
      </c>
    </row>
    <row r="105" spans="2:11" x14ac:dyDescent="0.2">
      <c r="B105" s="39"/>
      <c r="C105" s="106"/>
      <c r="D105" s="107"/>
      <c r="E105" s="83"/>
      <c r="F105" s="84"/>
      <c r="G105" s="36"/>
      <c r="H105" s="69"/>
      <c r="I105" s="124">
        <f t="shared" si="3"/>
        <v>-926</v>
      </c>
      <c r="J105" s="149"/>
      <c r="K105" s="125">
        <f>I105/SUM($E$11:E105)</f>
        <v>-9.26</v>
      </c>
    </row>
    <row r="106" spans="2:11" x14ac:dyDescent="0.2">
      <c r="B106" s="39"/>
      <c r="C106" s="106"/>
      <c r="D106" s="107"/>
      <c r="E106" s="83"/>
      <c r="F106" s="84"/>
      <c r="G106" s="36"/>
      <c r="H106" s="69"/>
      <c r="I106" s="124">
        <f t="shared" si="3"/>
        <v>-926</v>
      </c>
      <c r="J106" s="149"/>
      <c r="K106" s="125">
        <f>I106/SUM($E$11:E106)</f>
        <v>-9.26</v>
      </c>
    </row>
    <row r="107" spans="2:11" x14ac:dyDescent="0.2">
      <c r="B107" s="39"/>
      <c r="C107" s="106"/>
      <c r="D107" s="107"/>
      <c r="E107" s="83"/>
      <c r="F107" s="84"/>
      <c r="G107" s="36"/>
      <c r="H107" s="69"/>
      <c r="I107" s="124">
        <f t="shared" si="3"/>
        <v>-926</v>
      </c>
      <c r="J107" s="149"/>
      <c r="K107" s="125">
        <f>I107/SUM($E$11:E107)</f>
        <v>-9.26</v>
      </c>
    </row>
    <row r="108" spans="2:11" x14ac:dyDescent="0.2">
      <c r="B108" s="39"/>
      <c r="C108" s="106"/>
      <c r="D108" s="107"/>
      <c r="E108" s="83"/>
      <c r="F108" s="84"/>
      <c r="G108" s="36"/>
      <c r="H108" s="69"/>
      <c r="I108" s="124">
        <f t="shared" si="3"/>
        <v>-926</v>
      </c>
      <c r="J108" s="149"/>
      <c r="K108" s="125">
        <f>I108/SUM($E$11:E108)</f>
        <v>-9.26</v>
      </c>
    </row>
    <row r="109" spans="2:11" x14ac:dyDescent="0.2">
      <c r="B109" s="39"/>
      <c r="C109" s="106"/>
      <c r="D109" s="107"/>
      <c r="E109" s="83"/>
      <c r="F109" s="84"/>
      <c r="G109" s="36"/>
      <c r="H109" s="69"/>
      <c r="I109" s="124">
        <f t="shared" si="3"/>
        <v>-926</v>
      </c>
      <c r="J109" s="149"/>
      <c r="K109" s="125">
        <f>I109/SUM($E$11:E109)</f>
        <v>-9.26</v>
      </c>
    </row>
    <row r="110" spans="2:11" x14ac:dyDescent="0.2">
      <c r="B110" s="39"/>
      <c r="C110" s="106"/>
      <c r="D110" s="107"/>
      <c r="E110" s="83"/>
      <c r="F110" s="84"/>
      <c r="G110" s="36"/>
      <c r="H110" s="69"/>
      <c r="I110" s="124">
        <f t="shared" si="3"/>
        <v>-926</v>
      </c>
      <c r="J110" s="149"/>
      <c r="K110" s="125">
        <f>I110/SUM($E$11:E110)</f>
        <v>-9.26</v>
      </c>
    </row>
    <row r="111" spans="2:11" x14ac:dyDescent="0.2">
      <c r="B111" s="39"/>
      <c r="C111" s="106"/>
      <c r="D111" s="107"/>
      <c r="E111" s="83"/>
      <c r="F111" s="84"/>
      <c r="G111" s="36"/>
      <c r="H111" s="69"/>
      <c r="I111" s="124">
        <f t="shared" si="3"/>
        <v>-926</v>
      </c>
      <c r="J111" s="149"/>
      <c r="K111" s="125">
        <f>I111/SUM($E$11:E111)</f>
        <v>-9.26</v>
      </c>
    </row>
    <row r="112" spans="2:11" x14ac:dyDescent="0.2">
      <c r="B112" s="39"/>
      <c r="C112" s="106"/>
      <c r="D112" s="107"/>
      <c r="E112" s="83"/>
      <c r="F112" s="84"/>
      <c r="G112" s="36"/>
      <c r="H112" s="69"/>
      <c r="I112" s="124">
        <f t="shared" si="3"/>
        <v>-926</v>
      </c>
      <c r="J112" s="149"/>
      <c r="K112" s="125">
        <f>I112/SUM($E$11:E112)</f>
        <v>-9.26</v>
      </c>
    </row>
    <row r="113" spans="2:11" x14ac:dyDescent="0.2">
      <c r="B113" s="39"/>
      <c r="C113" s="106"/>
      <c r="D113" s="107"/>
      <c r="E113" s="83"/>
      <c r="F113" s="84"/>
      <c r="G113" s="36"/>
      <c r="H113" s="69"/>
      <c r="I113" s="124">
        <f t="shared" si="3"/>
        <v>-926</v>
      </c>
      <c r="J113" s="149"/>
      <c r="K113" s="125">
        <f>I113/SUM($E$11:E113)</f>
        <v>-9.26</v>
      </c>
    </row>
    <row r="114" spans="2:11" x14ac:dyDescent="0.2">
      <c r="B114" s="39"/>
      <c r="C114" s="106"/>
      <c r="D114" s="107"/>
      <c r="E114" s="83"/>
      <c r="F114" s="84"/>
      <c r="G114" s="36"/>
      <c r="H114" s="69"/>
      <c r="I114" s="124">
        <f t="shared" si="3"/>
        <v>-926</v>
      </c>
      <c r="J114" s="149"/>
      <c r="K114" s="125">
        <f>I114/SUM($E$11:E114)</f>
        <v>-9.26</v>
      </c>
    </row>
    <row r="115" spans="2:11" x14ac:dyDescent="0.2">
      <c r="B115" s="39"/>
      <c r="C115" s="106"/>
      <c r="D115" s="107"/>
      <c r="E115" s="83"/>
      <c r="F115" s="84"/>
      <c r="G115" s="36"/>
      <c r="H115" s="69"/>
      <c r="I115" s="124">
        <f t="shared" si="3"/>
        <v>-926</v>
      </c>
      <c r="J115" s="149"/>
      <c r="K115" s="125">
        <f>I115/SUM($E$11:E115)</f>
        <v>-9.26</v>
      </c>
    </row>
    <row r="116" spans="2:11" x14ac:dyDescent="0.2">
      <c r="B116" s="39"/>
      <c r="C116" s="106"/>
      <c r="D116" s="107"/>
      <c r="E116" s="83"/>
      <c r="F116" s="84"/>
      <c r="G116" s="36"/>
      <c r="H116" s="69"/>
      <c r="I116" s="124">
        <f>I60+G116</f>
        <v>-215</v>
      </c>
      <c r="J116" s="149"/>
      <c r="K116" s="125">
        <f>I116/SUM($E$11:E116)</f>
        <v>-2.15</v>
      </c>
    </row>
    <row r="117" spans="2:11" x14ac:dyDescent="0.2">
      <c r="B117" s="39"/>
      <c r="C117" s="106"/>
      <c r="D117" s="107"/>
      <c r="E117" s="83"/>
      <c r="F117" s="84"/>
      <c r="G117" s="36"/>
      <c r="H117" s="69"/>
      <c r="I117" s="124">
        <f t="shared" si="3"/>
        <v>-215</v>
      </c>
      <c r="J117" s="149"/>
      <c r="K117" s="125">
        <f>I117/SUM($E$11:E117)</f>
        <v>-2.15</v>
      </c>
    </row>
    <row r="118" spans="2:11" ht="4.75" customHeight="1" x14ac:dyDescent="0.2">
      <c r="B118" s="67"/>
      <c r="C118" s="106"/>
      <c r="D118" s="107"/>
      <c r="E118" s="83"/>
      <c r="F118" s="84"/>
      <c r="G118" s="85"/>
      <c r="H118" s="69"/>
      <c r="I118" s="69"/>
      <c r="J118" s="149"/>
      <c r="K118" s="83"/>
    </row>
    <row r="119" spans="2:11" ht="19" x14ac:dyDescent="0.2">
      <c r="B119" s="67"/>
      <c r="C119" s="106"/>
      <c r="D119" s="107"/>
      <c r="E119" s="107"/>
      <c r="F119" s="103"/>
      <c r="G119" s="135">
        <f>SUM(G27:G117)</f>
        <v>-1926</v>
      </c>
      <c r="H119" s="69"/>
      <c r="I119" s="69"/>
      <c r="J119" s="149"/>
      <c r="K119" s="134"/>
    </row>
    <row r="120" spans="2:11" x14ac:dyDescent="0.2">
      <c r="D120" s="126"/>
    </row>
    <row r="121" spans="2:11" x14ac:dyDescent="0.2">
      <c r="D121" s="126"/>
    </row>
    <row r="122" spans="2:11" x14ac:dyDescent="0.2">
      <c r="D122" s="126"/>
    </row>
    <row r="123" spans="2:11" x14ac:dyDescent="0.2">
      <c r="D123" s="126"/>
    </row>
  </sheetData>
  <mergeCells count="2">
    <mergeCell ref="B8:G8"/>
    <mergeCell ref="B1:C1"/>
  </mergeCells>
  <conditionalFormatting sqref="B27:B117">
    <cfRule type="expression" dxfId="162" priority="1" stopIfTrue="1">
      <formula>J27="ROLL"</formula>
    </cfRule>
    <cfRule type="expression" dxfId="161" priority="2" stopIfTrue="1">
      <formula>AND(ISNUMBER(SEARCH("call", B27)), J27="expired")</formula>
    </cfRule>
    <cfRule type="expression" dxfId="160" priority="3" stopIfTrue="1">
      <formula>AND(ISNUMBER(SEARCH("call", B27)), J27="assigned")</formula>
    </cfRule>
    <cfRule type="expression" dxfId="159" priority="4" stopIfTrue="1">
      <formula>J27="assigned"</formula>
    </cfRule>
    <cfRule type="expression" dxfId="158" priority="5">
      <formula>J27="expired"</formula>
    </cfRule>
  </conditionalFormatting>
  <pageMargins left="0.7" right="0.7" top="0.75" bottom="0.75" header="0.3" footer="0.3"/>
  <pageSetup paperSize="0" orientation="portrait" r:id="rId1"/>
</worksheet>
</file>

<file path=xl/worksheets/sheet4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D88F-BAFA-DC48-A00F-1E1F3AE3CA72}">
  <sheetPr codeName="Sheet4"/>
  <dimension ref="B1:K68"/>
  <sheetViews>
    <sheetView zoomScale="130" zoomScaleNormal="130" workbookViewId="0">
      <pane xSplit="1" ySplit="10" topLeftCell="B11" activePane="bottomRight" state="frozen"/>
      <selection activeCell="F3" sqref="F3"/>
      <selection pane="topRight" activeCell="F3" sqref="F3"/>
      <selection pane="bottomLeft" activeCell="F3" sqref="F3"/>
      <selection pane="bottomRight" activeCell="K11" sqref="K11"/>
    </sheetView>
  </sheetViews>
  <sheetFormatPr baseColWidth="10" defaultColWidth="8.83203125" defaultRowHeight="15" x14ac:dyDescent="0.2"/>
  <cols>
    <col min="1" max="1" width="6" style="70" customWidth="1"/>
    <col min="2" max="2" width="34.83203125" style="71" customWidth="1"/>
    <col min="3" max="3" width="16.33203125" style="109" customWidth="1"/>
    <col min="4" max="4" width="8.33203125" style="70" customWidth="1"/>
    <col min="5" max="5" width="10.83203125" style="70" customWidth="1"/>
    <col min="6" max="6" width="9.6640625" style="70" bestFit="1" customWidth="1"/>
    <col min="7" max="7" width="13.83203125" style="70" customWidth="1"/>
    <col min="8" max="8" width="3.5" style="70" customWidth="1"/>
    <col min="9" max="9" width="12.1640625" style="70" customWidth="1"/>
    <col min="10" max="10" width="29" style="71" customWidth="1"/>
    <col min="11" max="11" width="8.83203125" style="72"/>
    <col min="12" max="16384" width="8.83203125" style="70"/>
  </cols>
  <sheetData>
    <row r="1" spans="2:11" ht="17" x14ac:dyDescent="0.2">
      <c r="B1" s="108" t="s">
        <v>16</v>
      </c>
    </row>
    <row r="2" spans="2:11" x14ac:dyDescent="0.2">
      <c r="B2" s="67"/>
      <c r="C2" s="110"/>
      <c r="D2" s="72"/>
      <c r="E2" s="72"/>
      <c r="F2" s="74"/>
      <c r="G2" s="75"/>
    </row>
    <row r="3" spans="2:11" ht="19" x14ac:dyDescent="0.2">
      <c r="B3" s="111"/>
      <c r="C3" s="112"/>
      <c r="D3" s="77"/>
      <c r="E3" s="77"/>
      <c r="F3" s="78" t="s">
        <v>0</v>
      </c>
      <c r="G3" s="79">
        <f>IF(ISERROR(SUM(G11:G131)/G4),SUM(G27:G131),SUM(G11:G131)/G4)</f>
        <v>-15</v>
      </c>
      <c r="H3" s="70" t="s">
        <v>1</v>
      </c>
      <c r="J3" s="80">
        <v>12.9</v>
      </c>
      <c r="K3" s="77"/>
    </row>
    <row r="4" spans="2:11" x14ac:dyDescent="0.2">
      <c r="B4" s="113"/>
      <c r="C4" s="110"/>
      <c r="D4" s="72"/>
      <c r="E4" s="72"/>
      <c r="F4" s="74" t="s">
        <v>2</v>
      </c>
      <c r="G4" s="81">
        <f>SUM(E11:E131)</f>
        <v>0</v>
      </c>
    </row>
    <row r="5" spans="2:11" x14ac:dyDescent="0.2">
      <c r="C5" s="110"/>
      <c r="D5" s="72"/>
      <c r="E5" s="72"/>
      <c r="F5" s="74"/>
      <c r="G5" s="75"/>
    </row>
    <row r="6" spans="2:11" x14ac:dyDescent="0.2">
      <c r="C6" s="106"/>
      <c r="D6" s="83"/>
      <c r="E6" s="83"/>
      <c r="F6" s="84"/>
      <c r="G6" s="85"/>
      <c r="H6" s="69"/>
      <c r="I6" s="69"/>
      <c r="J6" s="86"/>
      <c r="K6" s="83"/>
    </row>
    <row r="7" spans="2:11" ht="6" customHeight="1" x14ac:dyDescent="0.2">
      <c r="B7" s="67"/>
      <c r="C7" s="106"/>
      <c r="D7" s="83"/>
      <c r="E7" s="83"/>
      <c r="F7" s="84"/>
      <c r="G7" s="85"/>
      <c r="H7" s="69"/>
      <c r="I7" s="69"/>
      <c r="J7" s="86"/>
      <c r="K7" s="83"/>
    </row>
    <row r="8" spans="2:11" s="90" customFormat="1" ht="12" x14ac:dyDescent="0.2">
      <c r="B8" s="199" t="s">
        <v>3</v>
      </c>
      <c r="C8" s="199"/>
      <c r="D8" s="199"/>
      <c r="E8" s="199"/>
      <c r="F8" s="199"/>
      <c r="G8" s="199"/>
      <c r="H8" s="87"/>
      <c r="I8" s="88" t="s">
        <v>4</v>
      </c>
      <c r="J8" s="89"/>
      <c r="K8" s="88" t="s">
        <v>5</v>
      </c>
    </row>
    <row r="9" spans="2:11" ht="16" x14ac:dyDescent="0.2">
      <c r="B9" s="114" t="s">
        <v>11</v>
      </c>
      <c r="C9" s="115" t="s">
        <v>6</v>
      </c>
      <c r="D9" s="92" t="s">
        <v>39</v>
      </c>
      <c r="E9" s="92" t="s">
        <v>2</v>
      </c>
      <c r="F9" s="93" t="s">
        <v>7</v>
      </c>
      <c r="G9" s="94" t="s">
        <v>8</v>
      </c>
      <c r="H9" s="92"/>
      <c r="I9" s="92"/>
      <c r="J9" s="95"/>
      <c r="K9" s="92"/>
    </row>
    <row r="10" spans="2:11" ht="5.5" customHeight="1" x14ac:dyDescent="0.2">
      <c r="B10" s="114"/>
      <c r="C10" s="115"/>
      <c r="D10" s="92"/>
      <c r="E10" s="92"/>
      <c r="F10" s="93"/>
      <c r="G10" s="94"/>
      <c r="H10" s="92"/>
      <c r="I10" s="92"/>
      <c r="J10" s="95"/>
      <c r="K10" s="92"/>
    </row>
    <row r="11" spans="2:11" x14ac:dyDescent="0.2">
      <c r="B11" s="67"/>
      <c r="C11" s="106"/>
      <c r="D11" s="96"/>
      <c r="E11" s="83"/>
      <c r="F11" s="116">
        <v>10</v>
      </c>
      <c r="G11" s="99">
        <f>E11*F11</f>
        <v>0</v>
      </c>
      <c r="H11" s="69"/>
      <c r="I11" s="99">
        <f>G11</f>
        <v>0</v>
      </c>
      <c r="J11" s="86"/>
      <c r="K11" s="105">
        <f>IF(ISERROR(I11/$G$4),0,I11/SUM($E$11:E11))</f>
        <v>0</v>
      </c>
    </row>
    <row r="12" spans="2:11" x14ac:dyDescent="0.2">
      <c r="B12" s="67"/>
      <c r="C12" s="106"/>
      <c r="D12" s="96"/>
      <c r="E12" s="83"/>
      <c r="F12" s="116">
        <v>8</v>
      </c>
      <c r="G12" s="99">
        <f>E12*F12</f>
        <v>0</v>
      </c>
      <c r="H12" s="69"/>
      <c r="I12" s="99">
        <f>I11+G12</f>
        <v>0</v>
      </c>
      <c r="J12" s="86"/>
      <c r="K12" s="105">
        <f>IF(ISERROR(I12/$G$4),0,I12/SUM($E$11:E12))</f>
        <v>0</v>
      </c>
    </row>
    <row r="13" spans="2:11" x14ac:dyDescent="0.2">
      <c r="B13" s="67"/>
      <c r="C13" s="106"/>
      <c r="D13" s="96"/>
      <c r="E13" s="83"/>
      <c r="F13" s="116">
        <v>7.5</v>
      </c>
      <c r="G13" s="99">
        <f>E13*F13</f>
        <v>0</v>
      </c>
      <c r="H13" s="69"/>
      <c r="I13" s="99">
        <f>I12+G13</f>
        <v>0</v>
      </c>
      <c r="J13" s="86"/>
      <c r="K13" s="105">
        <f>IF(ISERROR(I13/$G$4),0,I13/SUM($E$11:E13))</f>
        <v>0</v>
      </c>
    </row>
    <row r="14" spans="2:11" x14ac:dyDescent="0.2">
      <c r="B14" s="67"/>
      <c r="C14" s="106"/>
      <c r="D14" s="96"/>
      <c r="E14" s="83"/>
      <c r="F14" s="116">
        <v>10</v>
      </c>
      <c r="G14" s="99">
        <f>E14*F14</f>
        <v>0</v>
      </c>
      <c r="H14" s="69"/>
      <c r="I14" s="99">
        <f>I13+G14</f>
        <v>0</v>
      </c>
      <c r="J14" s="86"/>
      <c r="K14" s="105">
        <f>IF(ISERROR(I14/$G$4),0,I14/SUM($E$11:E14))</f>
        <v>0</v>
      </c>
    </row>
    <row r="15" spans="2:11" x14ac:dyDescent="0.2">
      <c r="B15" s="67"/>
      <c r="C15" s="106"/>
      <c r="D15" s="96"/>
      <c r="E15" s="83"/>
      <c r="F15" s="116"/>
      <c r="G15" s="99">
        <f t="shared" ref="G15:G22" si="0">E15*F15</f>
        <v>0</v>
      </c>
      <c r="H15" s="69"/>
      <c r="I15" s="99">
        <f t="shared" ref="I15:I22" si="1">I14+G15</f>
        <v>0</v>
      </c>
      <c r="J15" s="86"/>
      <c r="K15" s="105">
        <f>IF(ISERROR(I15/$G$4),0,I15/SUM($E$11:E15))</f>
        <v>0</v>
      </c>
    </row>
    <row r="16" spans="2:11" x14ac:dyDescent="0.2">
      <c r="B16" s="67"/>
      <c r="C16" s="106"/>
      <c r="D16" s="96"/>
      <c r="E16" s="83"/>
      <c r="F16" s="116"/>
      <c r="G16" s="99">
        <f t="shared" si="0"/>
        <v>0</v>
      </c>
      <c r="H16" s="69"/>
      <c r="I16" s="99">
        <f t="shared" si="1"/>
        <v>0</v>
      </c>
      <c r="J16" s="86"/>
      <c r="K16" s="105">
        <f>IF(ISERROR(I16/$G$4),0,I16/SUM($E$11:E16))</f>
        <v>0</v>
      </c>
    </row>
    <row r="17" spans="2:11" x14ac:dyDescent="0.2">
      <c r="B17" s="67"/>
      <c r="C17" s="106"/>
      <c r="D17" s="96"/>
      <c r="E17" s="83"/>
      <c r="F17" s="116"/>
      <c r="G17" s="99">
        <f t="shared" si="0"/>
        <v>0</v>
      </c>
      <c r="H17" s="69"/>
      <c r="I17" s="99">
        <f t="shared" si="1"/>
        <v>0</v>
      </c>
      <c r="J17" s="86"/>
      <c r="K17" s="105">
        <f>IF(ISERROR(I17/$G$4),0,I17/SUM($E$11:E17))</f>
        <v>0</v>
      </c>
    </row>
    <row r="18" spans="2:11" x14ac:dyDescent="0.2">
      <c r="B18" s="67"/>
      <c r="C18" s="106"/>
      <c r="D18" s="96"/>
      <c r="E18" s="83"/>
      <c r="F18" s="116"/>
      <c r="G18" s="99">
        <f t="shared" si="0"/>
        <v>0</v>
      </c>
      <c r="H18" s="69"/>
      <c r="I18" s="99">
        <f t="shared" si="1"/>
        <v>0</v>
      </c>
      <c r="J18" s="86"/>
      <c r="K18" s="105">
        <f>IF(ISERROR(I18/$G$4),0,I18/SUM($E$11:E18))</f>
        <v>0</v>
      </c>
    </row>
    <row r="19" spans="2:11" x14ac:dyDescent="0.2">
      <c r="B19" s="67"/>
      <c r="C19" s="106"/>
      <c r="D19" s="96"/>
      <c r="E19" s="83"/>
      <c r="F19" s="116"/>
      <c r="G19" s="99">
        <f t="shared" si="0"/>
        <v>0</v>
      </c>
      <c r="H19" s="69"/>
      <c r="I19" s="99">
        <f t="shared" si="1"/>
        <v>0</v>
      </c>
      <c r="J19" s="86"/>
      <c r="K19" s="105">
        <f>IF(ISERROR(I19/$G$4),0,I19/SUM($E$11:E19))</f>
        <v>0</v>
      </c>
    </row>
    <row r="20" spans="2:11" x14ac:dyDescent="0.2">
      <c r="B20" s="67"/>
      <c r="C20" s="106"/>
      <c r="D20" s="96"/>
      <c r="E20" s="83"/>
      <c r="F20" s="116"/>
      <c r="G20" s="99">
        <f t="shared" si="0"/>
        <v>0</v>
      </c>
      <c r="H20" s="69"/>
      <c r="I20" s="99">
        <f t="shared" si="1"/>
        <v>0</v>
      </c>
      <c r="J20" s="86"/>
      <c r="K20" s="105">
        <f>IF(ISERROR(I20/$G$4),0,I20/SUM($E$11:E20))</f>
        <v>0</v>
      </c>
    </row>
    <row r="21" spans="2:11" x14ac:dyDescent="0.2">
      <c r="B21" s="67"/>
      <c r="C21" s="106"/>
      <c r="D21" s="96"/>
      <c r="E21" s="83"/>
      <c r="F21" s="116"/>
      <c r="G21" s="99">
        <f t="shared" si="0"/>
        <v>0</v>
      </c>
      <c r="H21" s="69"/>
      <c r="I21" s="99">
        <f t="shared" si="1"/>
        <v>0</v>
      </c>
      <c r="J21" s="86"/>
      <c r="K21" s="105">
        <f>IF(ISERROR(I21/$G$4),0,I21/SUM($E$11:E21))</f>
        <v>0</v>
      </c>
    </row>
    <row r="22" spans="2:11" x14ac:dyDescent="0.2">
      <c r="B22" s="67"/>
      <c r="C22" s="106"/>
      <c r="D22" s="96"/>
      <c r="E22" s="83"/>
      <c r="F22" s="116"/>
      <c r="G22" s="99">
        <f t="shared" si="0"/>
        <v>0</v>
      </c>
      <c r="H22" s="69"/>
      <c r="I22" s="99">
        <f t="shared" si="1"/>
        <v>0</v>
      </c>
      <c r="J22" s="86"/>
      <c r="K22" s="105">
        <f>IF(ISERROR(I22/$G$4),0,I22/SUM($E$11:E22))</f>
        <v>0</v>
      </c>
    </row>
    <row r="23" spans="2:11" x14ac:dyDescent="0.2">
      <c r="B23" s="67"/>
      <c r="C23" s="106"/>
      <c r="D23" s="96"/>
      <c r="E23" s="83"/>
      <c r="F23" s="116"/>
      <c r="G23" s="99">
        <f>E23*F23</f>
        <v>0</v>
      </c>
      <c r="H23" s="69"/>
      <c r="I23" s="99">
        <f>I14+G23</f>
        <v>0</v>
      </c>
      <c r="J23" s="86"/>
      <c r="K23" s="105">
        <f>IF(ISERROR(I23/$G$4),0,I23/SUM($E$11:E23))</f>
        <v>0</v>
      </c>
    </row>
    <row r="24" spans="2:11" x14ac:dyDescent="0.2">
      <c r="H24" s="69"/>
      <c r="I24" s="85"/>
      <c r="J24" s="86"/>
      <c r="K24" s="100" t="e">
        <f>SUM(G11:G23)/SUM(E11:E23)</f>
        <v>#DIV/0!</v>
      </c>
    </row>
    <row r="25" spans="2:11" ht="6" customHeight="1" x14ac:dyDescent="0.2">
      <c r="B25" s="117"/>
      <c r="C25" s="118"/>
      <c r="D25" s="119"/>
      <c r="E25" s="119"/>
      <c r="F25" s="120"/>
      <c r="G25" s="121"/>
      <c r="H25" s="122"/>
      <c r="I25" s="122"/>
      <c r="J25" s="123"/>
      <c r="K25" s="119"/>
    </row>
    <row r="26" spans="2:11" ht="6.5" customHeight="1" x14ac:dyDescent="0.2">
      <c r="B26" s="117"/>
      <c r="C26" s="118"/>
      <c r="D26" s="119"/>
      <c r="E26" s="119"/>
      <c r="F26" s="120"/>
      <c r="G26" s="121"/>
      <c r="H26" s="122"/>
      <c r="I26" s="122"/>
      <c r="J26" s="123"/>
      <c r="K26" s="119"/>
    </row>
    <row r="27" spans="2:11" ht="16" x14ac:dyDescent="0.2">
      <c r="B27" s="39" t="s">
        <v>128</v>
      </c>
      <c r="C27" s="106" t="d">
        <v>2025-11-06</v>
      </c>
      <c r="D27" s="107"/>
      <c r="E27" s="83"/>
      <c r="F27" s="101"/>
      <c r="G27" s="97">
        <v>-7</v>
      </c>
      <c r="H27" s="69"/>
      <c r="I27" s="124">
        <f>I23+G27</f>
        <v>-7</v>
      </c>
      <c r="J27" s="86" t="s">
        <v>10</v>
      </c>
      <c r="K27" s="125" t="e">
        <f>I27/SUM($E$11:E27)</f>
        <v>#DIV/0!</v>
      </c>
    </row>
    <row r="28" spans="2:11" ht="17" customHeight="1" x14ac:dyDescent="0.2">
      <c r="B28" s="39" t="s">
        <v>245</v>
      </c>
      <c r="C28" s="106" t="d">
        <v>2025-01-27</v>
      </c>
      <c r="D28" s="107"/>
      <c r="E28" s="83"/>
      <c r="F28" s="101"/>
      <c r="G28" s="97">
        <v>-8</v>
      </c>
      <c r="H28" s="69"/>
      <c r="I28" s="124">
        <f t="shared" ref="I28:I60" si="2">I27+G28</f>
        <v>-15</v>
      </c>
      <c r="J28" s="86" t="s">
        <v>10</v>
      </c>
      <c r="K28" s="125" t="e">
        <f>I28/SUM($E$11:E28)</f>
        <v>#DIV/0!</v>
      </c>
    </row>
    <row r="29" spans="2:11" x14ac:dyDescent="0.2">
      <c r="B29" s="39"/>
      <c r="C29" s="106"/>
      <c r="D29" s="107"/>
      <c r="E29" s="83"/>
      <c r="F29" s="84"/>
      <c r="G29" s="97">
        <v>0</v>
      </c>
      <c r="H29" s="69"/>
      <c r="I29" s="124">
        <f t="shared" si="2"/>
        <v>-15</v>
      </c>
      <c r="J29" s="86"/>
      <c r="K29" s="125" t="e">
        <f>I29/SUM($E$11:E29)</f>
        <v>#DIV/0!</v>
      </c>
    </row>
    <row r="30" spans="2:11" x14ac:dyDescent="0.2">
      <c r="B30" s="39"/>
      <c r="C30" s="106"/>
      <c r="D30" s="107"/>
      <c r="E30" s="83"/>
      <c r="F30" s="84"/>
      <c r="G30" s="97">
        <v>0</v>
      </c>
      <c r="H30" s="69"/>
      <c r="I30" s="124">
        <f t="shared" si="2"/>
        <v>-15</v>
      </c>
      <c r="J30" s="86"/>
      <c r="K30" s="125" t="e">
        <f>I30/SUM($E$11:E30)</f>
        <v>#DIV/0!</v>
      </c>
    </row>
    <row r="31" spans="2:11" x14ac:dyDescent="0.2">
      <c r="B31" s="39"/>
      <c r="C31" s="106"/>
      <c r="D31" s="107"/>
      <c r="E31" s="83"/>
      <c r="F31" s="84"/>
      <c r="G31" s="97">
        <v>0</v>
      </c>
      <c r="H31" s="69"/>
      <c r="I31" s="124">
        <f t="shared" si="2"/>
        <v>-15</v>
      </c>
      <c r="J31" s="86"/>
      <c r="K31" s="125" t="e">
        <f>I31/SUM($E$11:E31)</f>
        <v>#DIV/0!</v>
      </c>
    </row>
    <row r="32" spans="2:11" x14ac:dyDescent="0.2">
      <c r="B32" s="39"/>
      <c r="C32" s="106"/>
      <c r="D32" s="107"/>
      <c r="E32" s="83"/>
      <c r="F32" s="84"/>
      <c r="G32" s="97">
        <v>0</v>
      </c>
      <c r="H32" s="69"/>
      <c r="I32" s="124">
        <f t="shared" si="2"/>
        <v>-15</v>
      </c>
      <c r="J32" s="86"/>
      <c r="K32" s="125" t="e">
        <f>I32/SUM($E$11:E32)</f>
        <v>#DIV/0!</v>
      </c>
    </row>
    <row r="33" spans="2:11" x14ac:dyDescent="0.2">
      <c r="B33" s="39"/>
      <c r="C33" s="106"/>
      <c r="D33" s="107"/>
      <c r="E33" s="83"/>
      <c r="F33" s="84"/>
      <c r="G33" s="97">
        <v>0</v>
      </c>
      <c r="H33" s="69"/>
      <c r="I33" s="124">
        <f t="shared" si="2"/>
        <v>-15</v>
      </c>
      <c r="J33" s="86"/>
      <c r="K33" s="125" t="e">
        <f>I33/SUM($E$11:E33)</f>
        <v>#DIV/0!</v>
      </c>
    </row>
    <row r="34" spans="2:11" x14ac:dyDescent="0.2">
      <c r="B34" s="39"/>
      <c r="C34" s="106"/>
      <c r="D34" s="107"/>
      <c r="E34" s="83"/>
      <c r="F34" s="84"/>
      <c r="G34" s="97">
        <v>0</v>
      </c>
      <c r="H34" s="69"/>
      <c r="I34" s="124">
        <f t="shared" si="2"/>
        <v>-15</v>
      </c>
      <c r="J34" s="86"/>
      <c r="K34" s="125" t="e">
        <f>I34/SUM($E$11:E34)</f>
        <v>#DIV/0!</v>
      </c>
    </row>
    <row r="35" spans="2:11" x14ac:dyDescent="0.2">
      <c r="B35" s="39"/>
      <c r="C35" s="106"/>
      <c r="D35" s="107"/>
      <c r="E35" s="83"/>
      <c r="F35" s="84"/>
      <c r="G35" s="97">
        <v>0</v>
      </c>
      <c r="H35" s="69"/>
      <c r="I35" s="124">
        <f t="shared" si="2"/>
        <v>-15</v>
      </c>
      <c r="J35" s="86"/>
      <c r="K35" s="125" t="e">
        <f>I35/SUM($E$11:E35)</f>
        <v>#DIV/0!</v>
      </c>
    </row>
    <row r="36" spans="2:11" x14ac:dyDescent="0.2">
      <c r="B36" s="39"/>
      <c r="C36" s="106"/>
      <c r="D36" s="107"/>
      <c r="E36" s="83"/>
      <c r="F36" s="84"/>
      <c r="G36" s="97">
        <v>0</v>
      </c>
      <c r="H36" s="69"/>
      <c r="I36" s="124">
        <f t="shared" si="2"/>
        <v>-15</v>
      </c>
      <c r="J36" s="86"/>
      <c r="K36" s="125" t="e">
        <f>I36/SUM($E$11:E36)</f>
        <v>#DIV/0!</v>
      </c>
    </row>
    <row r="37" spans="2:11" x14ac:dyDescent="0.2">
      <c r="B37" s="39"/>
      <c r="C37" s="106"/>
      <c r="D37" s="107"/>
      <c r="E37" s="83"/>
      <c r="F37" s="84"/>
      <c r="G37" s="97">
        <v>0</v>
      </c>
      <c r="H37" s="69"/>
      <c r="I37" s="124">
        <f t="shared" si="2"/>
        <v>-15</v>
      </c>
      <c r="J37" s="86"/>
      <c r="K37" s="125" t="e">
        <f>I37/SUM($E$11:E37)</f>
        <v>#DIV/0!</v>
      </c>
    </row>
    <row r="38" spans="2:11" x14ac:dyDescent="0.2">
      <c r="B38" s="39"/>
      <c r="C38" s="106"/>
      <c r="D38" s="107"/>
      <c r="E38" s="83"/>
      <c r="F38" s="84"/>
      <c r="G38" s="97">
        <v>0</v>
      </c>
      <c r="H38" s="69"/>
      <c r="I38" s="124">
        <f t="shared" si="2"/>
        <v>-15</v>
      </c>
      <c r="J38" s="86"/>
      <c r="K38" s="125" t="e">
        <f>I38/SUM($E$11:E38)</f>
        <v>#DIV/0!</v>
      </c>
    </row>
    <row r="39" spans="2:11" x14ac:dyDescent="0.2">
      <c r="B39" s="39"/>
      <c r="C39" s="106"/>
      <c r="D39" s="107"/>
      <c r="E39" s="83"/>
      <c r="F39" s="84"/>
      <c r="G39" s="97">
        <v>0</v>
      </c>
      <c r="H39" s="69"/>
      <c r="I39" s="124">
        <f t="shared" si="2"/>
        <v>-15</v>
      </c>
      <c r="J39" s="86"/>
      <c r="K39" s="125" t="e">
        <f>I39/SUM($E$11:E39)</f>
        <v>#DIV/0!</v>
      </c>
    </row>
    <row r="40" spans="2:11" x14ac:dyDescent="0.2">
      <c r="B40" s="39"/>
      <c r="C40" s="106"/>
      <c r="D40" s="107"/>
      <c r="E40" s="83"/>
      <c r="F40" s="84"/>
      <c r="G40" s="97">
        <v>0</v>
      </c>
      <c r="H40" s="69"/>
      <c r="I40" s="124">
        <f t="shared" si="2"/>
        <v>-15</v>
      </c>
      <c r="J40" s="86"/>
      <c r="K40" s="125" t="e">
        <f>I40/SUM($E$11:E40)</f>
        <v>#DIV/0!</v>
      </c>
    </row>
    <row r="41" spans="2:11" x14ac:dyDescent="0.2">
      <c r="B41" s="39"/>
      <c r="C41" s="106"/>
      <c r="D41" s="107"/>
      <c r="E41" s="83"/>
      <c r="F41" s="84"/>
      <c r="G41" s="97">
        <v>0</v>
      </c>
      <c r="H41" s="69"/>
      <c r="I41" s="124">
        <f t="shared" si="2"/>
        <v>-15</v>
      </c>
      <c r="J41" s="86"/>
      <c r="K41" s="125" t="e">
        <f>I41/SUM($E$11:E41)</f>
        <v>#DIV/0!</v>
      </c>
    </row>
    <row r="42" spans="2:11" x14ac:dyDescent="0.2">
      <c r="B42" s="39"/>
      <c r="C42" s="106"/>
      <c r="D42" s="107"/>
      <c r="E42" s="83"/>
      <c r="F42" s="84"/>
      <c r="G42" s="97">
        <v>0</v>
      </c>
      <c r="H42" s="69"/>
      <c r="I42" s="124">
        <f t="shared" si="2"/>
        <v>-15</v>
      </c>
      <c r="J42" s="86"/>
      <c r="K42" s="125" t="e">
        <f>I42/SUM($E$11:E42)</f>
        <v>#DIV/0!</v>
      </c>
    </row>
    <row r="43" spans="2:11" x14ac:dyDescent="0.2">
      <c r="B43" s="39"/>
      <c r="C43" s="106"/>
      <c r="D43" s="107"/>
      <c r="E43" s="83"/>
      <c r="F43" s="84"/>
      <c r="G43" s="97">
        <v>0</v>
      </c>
      <c r="H43" s="69"/>
      <c r="I43" s="124">
        <f t="shared" si="2"/>
        <v>-15</v>
      </c>
      <c r="J43" s="86"/>
      <c r="K43" s="125" t="e">
        <f>I43/SUM($E$11:E43)</f>
        <v>#DIV/0!</v>
      </c>
    </row>
    <row r="44" spans="2:11" x14ac:dyDescent="0.2">
      <c r="B44" s="39"/>
      <c r="C44" s="106"/>
      <c r="D44" s="107"/>
      <c r="E44" s="83"/>
      <c r="F44" s="84"/>
      <c r="G44" s="97">
        <v>0</v>
      </c>
      <c r="H44" s="69"/>
      <c r="I44" s="124">
        <f t="shared" si="2"/>
        <v>-15</v>
      </c>
      <c r="J44" s="86"/>
      <c r="K44" s="125" t="e">
        <f>I44/SUM($E$11:E44)</f>
        <v>#DIV/0!</v>
      </c>
    </row>
    <row r="45" spans="2:11" x14ac:dyDescent="0.2">
      <c r="B45" s="39"/>
      <c r="C45" s="106"/>
      <c r="D45" s="107"/>
      <c r="E45" s="83"/>
      <c r="F45" s="84"/>
      <c r="G45" s="97">
        <v>0</v>
      </c>
      <c r="H45" s="69"/>
      <c r="I45" s="124">
        <f t="shared" si="2"/>
        <v>-15</v>
      </c>
      <c r="J45" s="86"/>
      <c r="K45" s="125" t="e">
        <f>I45/SUM($E$11:E45)</f>
        <v>#DIV/0!</v>
      </c>
    </row>
    <row r="46" spans="2:11" x14ac:dyDescent="0.2">
      <c r="B46" s="39"/>
      <c r="C46" s="106"/>
      <c r="D46" s="107"/>
      <c r="E46" s="83"/>
      <c r="F46" s="84"/>
      <c r="G46" s="97">
        <v>0</v>
      </c>
      <c r="H46" s="69"/>
      <c r="I46" s="124">
        <f t="shared" si="2"/>
        <v>-15</v>
      </c>
      <c r="J46" s="86"/>
      <c r="K46" s="125" t="e">
        <f>I46/SUM($E$11:E46)</f>
        <v>#DIV/0!</v>
      </c>
    </row>
    <row r="47" spans="2:11" x14ac:dyDescent="0.2">
      <c r="B47" s="39"/>
      <c r="C47" s="106"/>
      <c r="D47" s="107"/>
      <c r="E47" s="83"/>
      <c r="F47" s="84"/>
      <c r="G47" s="97">
        <v>0</v>
      </c>
      <c r="H47" s="69"/>
      <c r="I47" s="124">
        <f t="shared" si="2"/>
        <v>-15</v>
      </c>
      <c r="J47" s="86"/>
      <c r="K47" s="125" t="e">
        <f>I47/SUM($E$11:E47)</f>
        <v>#DIV/0!</v>
      </c>
    </row>
    <row r="48" spans="2:11" x14ac:dyDescent="0.2">
      <c r="B48" s="39"/>
      <c r="C48" s="106"/>
      <c r="D48" s="107"/>
      <c r="E48" s="83"/>
      <c r="F48" s="84"/>
      <c r="G48" s="97">
        <v>0</v>
      </c>
      <c r="H48" s="69"/>
      <c r="I48" s="124">
        <f t="shared" si="2"/>
        <v>-15</v>
      </c>
      <c r="J48" s="86"/>
      <c r="K48" s="125" t="e">
        <f>I48/SUM($E$11:E48)</f>
        <v>#DIV/0!</v>
      </c>
    </row>
    <row r="49" spans="2:11" x14ac:dyDescent="0.2">
      <c r="B49" s="39"/>
      <c r="C49" s="106"/>
      <c r="D49" s="107"/>
      <c r="E49" s="83"/>
      <c r="F49" s="84"/>
      <c r="G49" s="97">
        <v>0</v>
      </c>
      <c r="H49" s="69"/>
      <c r="I49" s="124">
        <f t="shared" si="2"/>
        <v>-15</v>
      </c>
      <c r="J49" s="86"/>
      <c r="K49" s="125" t="e">
        <f>I49/SUM($E$11:E49)</f>
        <v>#DIV/0!</v>
      </c>
    </row>
    <row r="50" spans="2:11" x14ac:dyDescent="0.2">
      <c r="B50" s="39"/>
      <c r="C50" s="106"/>
      <c r="D50" s="107"/>
      <c r="E50" s="83"/>
      <c r="F50" s="84"/>
      <c r="G50" s="97">
        <v>0</v>
      </c>
      <c r="H50" s="69"/>
      <c r="I50" s="124">
        <f t="shared" si="2"/>
        <v>-15</v>
      </c>
      <c r="J50" s="86"/>
      <c r="K50" s="125" t="e">
        <f>I50/SUM($E$11:E50)</f>
        <v>#DIV/0!</v>
      </c>
    </row>
    <row r="51" spans="2:11" x14ac:dyDescent="0.2">
      <c r="B51" s="39"/>
      <c r="C51" s="106"/>
      <c r="D51" s="107"/>
      <c r="E51" s="83"/>
      <c r="F51" s="84"/>
      <c r="G51" s="97">
        <v>0</v>
      </c>
      <c r="H51" s="69"/>
      <c r="I51" s="124">
        <f t="shared" si="2"/>
        <v>-15</v>
      </c>
      <c r="J51" s="86"/>
      <c r="K51" s="125" t="e">
        <f>I51/SUM($E$11:E51)</f>
        <v>#DIV/0!</v>
      </c>
    </row>
    <row r="52" spans="2:11" x14ac:dyDescent="0.2">
      <c r="B52" s="39"/>
      <c r="C52" s="106"/>
      <c r="D52" s="107"/>
      <c r="E52" s="83"/>
      <c r="F52" s="84"/>
      <c r="G52" s="97">
        <v>0</v>
      </c>
      <c r="H52" s="69"/>
      <c r="I52" s="124">
        <f t="shared" si="2"/>
        <v>-15</v>
      </c>
      <c r="J52" s="86"/>
      <c r="K52" s="125" t="e">
        <f>I52/SUM($E$11:E52)</f>
        <v>#DIV/0!</v>
      </c>
    </row>
    <row r="53" spans="2:11" x14ac:dyDescent="0.2">
      <c r="B53" s="39"/>
      <c r="C53" s="106"/>
      <c r="D53" s="107"/>
      <c r="E53" s="83"/>
      <c r="F53" s="84"/>
      <c r="G53" s="97">
        <v>0</v>
      </c>
      <c r="H53" s="69"/>
      <c r="I53" s="124">
        <f t="shared" si="2"/>
        <v>-15</v>
      </c>
      <c r="J53" s="86"/>
      <c r="K53" s="125" t="e">
        <f>I53/SUM($E$11:E53)</f>
        <v>#DIV/0!</v>
      </c>
    </row>
    <row r="54" spans="2:11" x14ac:dyDescent="0.2">
      <c r="B54" s="39"/>
      <c r="C54" s="106"/>
      <c r="D54" s="107"/>
      <c r="E54" s="83"/>
      <c r="F54" s="84"/>
      <c r="G54" s="97">
        <v>0</v>
      </c>
      <c r="H54" s="69"/>
      <c r="I54" s="124">
        <f t="shared" si="2"/>
        <v>-15</v>
      </c>
      <c r="J54" s="86"/>
      <c r="K54" s="125" t="e">
        <f>I54/SUM($E$11:E54)</f>
        <v>#DIV/0!</v>
      </c>
    </row>
    <row r="55" spans="2:11" x14ac:dyDescent="0.2">
      <c r="B55" s="39"/>
      <c r="C55" s="106"/>
      <c r="D55" s="107"/>
      <c r="E55" s="83"/>
      <c r="F55" s="84"/>
      <c r="G55" s="97">
        <v>0</v>
      </c>
      <c r="H55" s="69"/>
      <c r="I55" s="124">
        <f t="shared" si="2"/>
        <v>-15</v>
      </c>
      <c r="J55" s="86"/>
      <c r="K55" s="125" t="e">
        <f>I55/SUM($E$11:E55)</f>
        <v>#DIV/0!</v>
      </c>
    </row>
    <row r="56" spans="2:11" x14ac:dyDescent="0.2">
      <c r="B56" s="39"/>
      <c r="C56" s="106"/>
      <c r="D56" s="107"/>
      <c r="E56" s="83"/>
      <c r="F56" s="84"/>
      <c r="G56" s="97">
        <v>0</v>
      </c>
      <c r="H56" s="69"/>
      <c r="I56" s="124">
        <f t="shared" si="2"/>
        <v>-15</v>
      </c>
      <c r="J56" s="86"/>
      <c r="K56" s="125" t="e">
        <f>I56/SUM($E$11:E56)</f>
        <v>#DIV/0!</v>
      </c>
    </row>
    <row r="57" spans="2:11" x14ac:dyDescent="0.2">
      <c r="B57" s="39"/>
      <c r="C57" s="106"/>
      <c r="D57" s="107"/>
      <c r="E57" s="83"/>
      <c r="F57" s="84"/>
      <c r="G57" s="97">
        <v>0</v>
      </c>
      <c r="H57" s="69"/>
      <c r="I57" s="124">
        <f t="shared" si="2"/>
        <v>-15</v>
      </c>
      <c r="J57" s="86"/>
      <c r="K57" s="125" t="e">
        <f>I57/SUM($E$11:E57)</f>
        <v>#DIV/0!</v>
      </c>
    </row>
    <row r="58" spans="2:11" x14ac:dyDescent="0.2">
      <c r="B58" s="39"/>
      <c r="C58" s="106"/>
      <c r="D58" s="107"/>
      <c r="E58" s="83"/>
      <c r="F58" s="84"/>
      <c r="G58" s="97">
        <v>0</v>
      </c>
      <c r="H58" s="69"/>
      <c r="I58" s="124">
        <f t="shared" si="2"/>
        <v>-15</v>
      </c>
      <c r="J58" s="86"/>
      <c r="K58" s="125" t="e">
        <f>I58/SUM($E$11:E58)</f>
        <v>#DIV/0!</v>
      </c>
    </row>
    <row r="59" spans="2:11" x14ac:dyDescent="0.2">
      <c r="B59" s="39"/>
      <c r="C59" s="106"/>
      <c r="D59" s="107"/>
      <c r="E59" s="83"/>
      <c r="F59" s="84"/>
      <c r="G59" s="97">
        <v>0</v>
      </c>
      <c r="H59" s="69"/>
      <c r="I59" s="124">
        <f t="shared" si="2"/>
        <v>-15</v>
      </c>
      <c r="J59" s="86"/>
      <c r="K59" s="125" t="e">
        <f>I59/SUM($E$11:E59)</f>
        <v>#DIV/0!</v>
      </c>
    </row>
    <row r="60" spans="2:11" x14ac:dyDescent="0.2">
      <c r="B60" s="39"/>
      <c r="C60" s="106"/>
      <c r="D60" s="107"/>
      <c r="E60" s="83"/>
      <c r="F60" s="84"/>
      <c r="G60" s="97">
        <v>0</v>
      </c>
      <c r="H60" s="69"/>
      <c r="I60" s="124">
        <f t="shared" si="2"/>
        <v>-15</v>
      </c>
      <c r="J60" s="86"/>
      <c r="K60" s="125" t="e">
        <f>I60/SUM($E$11:E60)</f>
        <v>#DIV/0!</v>
      </c>
    </row>
    <row r="61" spans="2:11" x14ac:dyDescent="0.2">
      <c r="B61" s="39"/>
      <c r="C61" s="106"/>
      <c r="D61" s="107"/>
      <c r="E61" s="83"/>
      <c r="F61" s="84"/>
      <c r="G61" s="97">
        <v>0</v>
      </c>
      <c r="H61" s="69"/>
      <c r="I61" s="124">
        <f>I37+G61</f>
        <v>-15</v>
      </c>
      <c r="J61" s="86"/>
      <c r="K61" s="125" t="e">
        <f>I61/SUM($E$11:E61)</f>
        <v>#DIV/0!</v>
      </c>
    </row>
    <row r="62" spans="2:11" x14ac:dyDescent="0.2">
      <c r="B62" s="39"/>
      <c r="C62" s="106"/>
      <c r="D62" s="107"/>
      <c r="E62" s="83"/>
      <c r="F62" s="84"/>
      <c r="G62" s="97">
        <v>0</v>
      </c>
      <c r="H62" s="69"/>
      <c r="I62" s="124">
        <f>I61+G62</f>
        <v>-15</v>
      </c>
      <c r="J62" s="86"/>
      <c r="K62" s="100">
        <f>I62/3400</f>
        <v>-4.4117647058823529E-3</v>
      </c>
    </row>
    <row r="63" spans="2:11" ht="4.75" customHeight="1" x14ac:dyDescent="0.2">
      <c r="B63" s="67"/>
      <c r="C63" s="106"/>
      <c r="D63" s="107"/>
      <c r="E63" s="83"/>
      <c r="F63" s="84"/>
      <c r="G63" s="85"/>
      <c r="H63" s="69"/>
      <c r="I63" s="69"/>
      <c r="J63" s="86"/>
      <c r="K63" s="83"/>
    </row>
    <row r="64" spans="2:11" ht="14.5" customHeight="1" x14ac:dyDescent="0.2">
      <c r="B64" s="67"/>
      <c r="C64" s="106"/>
      <c r="D64" s="107"/>
      <c r="E64" s="102"/>
      <c r="F64" s="103"/>
      <c r="G64" s="104"/>
      <c r="H64" s="69"/>
      <c r="I64" s="69"/>
      <c r="J64" s="86"/>
      <c r="K64" s="83"/>
    </row>
    <row r="65" spans="4:4" x14ac:dyDescent="0.2">
      <c r="D65" s="126"/>
    </row>
    <row r="66" spans="4:4" x14ac:dyDescent="0.2">
      <c r="D66" s="126"/>
    </row>
    <row r="67" spans="4:4" x14ac:dyDescent="0.2">
      <c r="D67" s="126"/>
    </row>
    <row r="68" spans="4:4" x14ac:dyDescent="0.2">
      <c r="D68" s="126"/>
    </row>
  </sheetData>
  <mergeCells count="1">
    <mergeCell ref="B8:G8"/>
  </mergeCells>
  <conditionalFormatting sqref="B27:B62">
    <cfRule type="expression" dxfId="157" priority="1">
      <formula>AND(ISNUMBER(SEARCH("call", B27)), J27="expired")</formula>
    </cfRule>
    <cfRule type="expression" dxfId="156" priority="2">
      <formula>AND(ISNUMBER(SEARCH("call", B27)), J27="assigned")</formula>
    </cfRule>
    <cfRule type="expression" dxfId="155" priority="3">
      <formula>J27="assigned"</formula>
    </cfRule>
    <cfRule type="expression" dxfId="154" priority="4">
      <formula>J27="expired"</formula>
    </cfRule>
  </conditionalFormatting>
  <pageMargins left="0.7" right="0.7" top="0.75" bottom="0.75" header="0.3" footer="0.3"/>
  <pageSetup paperSize="0" orientation="portrait" r:id="rId1"/>
</worksheet>
</file>

<file path=xl/worksheets/sheet4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67CC-8FE8-7C43-8235-81016A8D73F5}">
  <sheetPr codeName="Sheet18"/>
  <dimension ref="B1:N101"/>
  <sheetViews>
    <sheetView zoomScale="120" zoomScaleNormal="120" workbookViewId="0">
      <selection activeCell="E23" sqref="E23:F24"/>
    </sheetView>
  </sheetViews>
  <sheetFormatPr baseColWidth="10" defaultColWidth="8.83203125" defaultRowHeight="15" x14ac:dyDescent="0.2"/>
  <cols>
    <col min="1" max="1" width="6" customWidth="1"/>
    <col min="2" max="2" width="3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0" x14ac:dyDescent="0.25">
      <c r="B1" s="201" t="s">
        <v>119</v>
      </c>
      <c r="C1" s="201"/>
    </row>
    <row r="2" spans="2:14" x14ac:dyDescent="0.2">
      <c r="B2" s="1"/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IF(ISERROR(SUM(G38,G99)/G4),SUM(G38,G99),SUM(G38,G99)/G4)</f>
        <v>-5185</v>
      </c>
      <c r="H3" t="s">
        <v>1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 t="s">
        <v>174</v>
      </c>
      <c r="C11" s="58" t="d">
        <v>2024-11-02</v>
      </c>
      <c r="D11" s="16"/>
      <c r="E11" s="157">
        <v>400</v>
      </c>
      <c r="F11" s="21">
        <v>28</v>
      </c>
      <c r="G11" s="44">
        <f t="shared" ref="G11:G19" si="0">E11*F11</f>
        <v>11200</v>
      </c>
      <c r="H11" s="20"/>
      <c r="I11" s="36">
        <f>G11</f>
        <v>11200</v>
      </c>
      <c r="J11" s="31"/>
      <c r="K11" s="36">
        <f>IF(ISERROR(I11/$G$4),0,I11/SUM($E$11:E11))</f>
        <v>0</v>
      </c>
    </row>
    <row r="12" spans="2:14" x14ac:dyDescent="0.2">
      <c r="B12" s="15" t="s">
        <v>175</v>
      </c>
      <c r="C12" s="58" t="d">
        <v>2024-11-11</v>
      </c>
      <c r="D12" s="16"/>
      <c r="E12" s="157">
        <v>400</v>
      </c>
      <c r="F12" s="21">
        <v>29.5</v>
      </c>
      <c r="G12" s="44">
        <f t="shared" si="0"/>
        <v>11800</v>
      </c>
      <c r="H12" s="20"/>
      <c r="I12" s="36">
        <f t="shared" ref="I12:I19" si="1">I11+G12</f>
        <v>23000</v>
      </c>
      <c r="J12" s="31"/>
      <c r="K12" s="36">
        <f>IF(ISERROR(I12/$G$4),0,I12/SUM($E$11:E12))</f>
        <v>0</v>
      </c>
    </row>
    <row r="13" spans="2:14" x14ac:dyDescent="0.2">
      <c r="B13" s="15" t="s">
        <v>176</v>
      </c>
      <c r="C13" s="58" t="d">
        <v>2024-11-11</v>
      </c>
      <c r="D13" s="16"/>
      <c r="E13" s="157">
        <v>100</v>
      </c>
      <c r="F13" s="21">
        <v>29</v>
      </c>
      <c r="G13" s="44">
        <f t="shared" si="0"/>
        <v>2900</v>
      </c>
      <c r="H13" s="20"/>
      <c r="I13" s="36">
        <f t="shared" si="1"/>
        <v>25900</v>
      </c>
      <c r="J13" s="31"/>
      <c r="K13" s="36">
        <f>IF(ISERROR(I13/$G$4),0,I13/SUM($E$11:E13))</f>
        <v>0</v>
      </c>
    </row>
    <row r="14" spans="2:14" x14ac:dyDescent="0.2">
      <c r="B14" s="15" t="s">
        <v>177</v>
      </c>
      <c r="C14" s="58" t="d">
        <v>2024-11-22</v>
      </c>
      <c r="D14" s="16"/>
      <c r="E14" s="157">
        <v>-900</v>
      </c>
      <c r="F14" s="21">
        <v>28</v>
      </c>
      <c r="G14" s="44">
        <f t="shared" si="0"/>
        <v>-25200</v>
      </c>
      <c r="H14" s="20"/>
      <c r="I14" s="36">
        <f t="shared" si="1"/>
        <v>700</v>
      </c>
      <c r="J14" s="31"/>
      <c r="K14" s="36">
        <f>IF(ISERROR(I14/$G$4),0,I14/SUM($E$11:E14))</f>
        <v>0</v>
      </c>
    </row>
    <row r="15" spans="2:14" x14ac:dyDescent="0.2">
      <c r="B15" s="15" t="s">
        <v>178</v>
      </c>
      <c r="C15" s="58" t="d">
        <v>2024-12-02</v>
      </c>
      <c r="D15" s="16"/>
      <c r="E15" s="157">
        <v>1000</v>
      </c>
      <c r="F15" s="21">
        <v>28</v>
      </c>
      <c r="G15" s="44">
        <f t="shared" si="0"/>
        <v>28000</v>
      </c>
      <c r="H15" s="20"/>
      <c r="I15" s="36">
        <f t="shared" si="1"/>
        <v>28700</v>
      </c>
      <c r="J15" s="31"/>
      <c r="K15" s="36">
        <f>IF(ISERROR(I15/$G$4),0,I15/SUM($E$11:E15))</f>
        <v>0</v>
      </c>
    </row>
    <row r="16" spans="2:14" x14ac:dyDescent="0.2">
      <c r="B16" s="15" t="s">
        <v>205</v>
      </c>
      <c r="C16" s="58" t="d">
        <v>2024-12-11</v>
      </c>
      <c r="D16" s="16"/>
      <c r="E16" s="157">
        <v>-1000</v>
      </c>
      <c r="F16" s="21">
        <v>28</v>
      </c>
      <c r="G16" s="44">
        <f t="shared" si="0"/>
        <v>-28000</v>
      </c>
      <c r="H16" s="20"/>
      <c r="I16" s="36">
        <f t="shared" si="1"/>
        <v>700</v>
      </c>
      <c r="J16" s="31"/>
      <c r="K16" s="36">
        <f>IF(ISERROR(I16/$G$4),0,I16/SUM($E$11:E16))</f>
        <v>0</v>
      </c>
    </row>
    <row r="17" spans="2:11" x14ac:dyDescent="0.2">
      <c r="B17" s="15" t="s">
        <v>206</v>
      </c>
      <c r="C17" s="58" t="d">
        <v>2024-12-21</v>
      </c>
      <c r="D17" s="16"/>
      <c r="E17" s="157">
        <v>500</v>
      </c>
      <c r="F17" s="21">
        <v>27</v>
      </c>
      <c r="G17" s="44">
        <f t="shared" si="0"/>
        <v>13500</v>
      </c>
      <c r="H17" s="20"/>
      <c r="I17" s="36">
        <f t="shared" si="1"/>
        <v>14200</v>
      </c>
      <c r="J17" s="31"/>
      <c r="K17" s="36">
        <f>IF(ISERROR(I17/$G$4),0,I17/SUM($E$11:E17))</f>
        <v>0</v>
      </c>
    </row>
    <row r="18" spans="2:11" x14ac:dyDescent="0.2">
      <c r="B18" s="15" t="s">
        <v>222</v>
      </c>
      <c r="C18" s="58" t="d">
        <v>2025-01-13</v>
      </c>
      <c r="D18" s="16"/>
      <c r="E18" s="157">
        <v>-500</v>
      </c>
      <c r="F18" s="21">
        <v>27.5</v>
      </c>
      <c r="G18" s="44">
        <f t="shared" si="0"/>
        <v>-13750</v>
      </c>
      <c r="H18" s="20"/>
      <c r="I18" s="36">
        <f t="shared" si="1"/>
        <v>450</v>
      </c>
      <c r="J18" s="31"/>
      <c r="K18" s="36">
        <f>IF(ISERROR(I18/$G$4),0,I18/SUM($E$11:E18))</f>
        <v>0</v>
      </c>
    </row>
    <row r="19" spans="2:11" x14ac:dyDescent="0.2">
      <c r="B19" s="15" t="s">
        <v>285</v>
      </c>
      <c r="C19" s="58" t="d">
        <v>2025-02-28</v>
      </c>
      <c r="D19" s="16"/>
      <c r="E19" s="157">
        <v>200</v>
      </c>
      <c r="F19" s="21">
        <v>28.5</v>
      </c>
      <c r="G19" s="44">
        <f t="shared" si="0"/>
        <v>5700</v>
      </c>
      <c r="H19" s="20"/>
      <c r="I19" s="36">
        <f t="shared" si="1"/>
        <v>6150</v>
      </c>
      <c r="J19" s="31"/>
      <c r="K19" s="36">
        <f>IF(ISERROR(I19/$G$4),0,I19/SUM($E$11:E19))</f>
        <v>0</v>
      </c>
    </row>
    <row r="20" spans="2:11" x14ac:dyDescent="0.2">
      <c r="B20" s="15" t="s">
        <v>305</v>
      </c>
      <c r="C20" s="58" t="d">
        <v>2025-03-07</v>
      </c>
      <c r="D20" s="16"/>
      <c r="E20" s="157">
        <v>-200</v>
      </c>
      <c r="F20" s="21">
        <v>28.5</v>
      </c>
      <c r="G20" s="44">
        <f t="shared" ref="G20:G35" si="2">E20*F20</f>
        <v>-5700</v>
      </c>
      <c r="H20" s="20"/>
      <c r="I20" s="36">
        <f t="shared" ref="I20:I35" si="3">I19+G20</f>
        <v>450</v>
      </c>
      <c r="J20" s="31"/>
      <c r="K20" s="36">
        <f>IF(ISERROR(I20/$G$4),0,I20/SUM($E$11:E20))</f>
        <v>0</v>
      </c>
    </row>
    <row r="21" spans="2:11" ht="16" x14ac:dyDescent="0.2">
      <c r="B21" s="39" t="s">
        <v>328</v>
      </c>
      <c r="C21" s="58" t="d">
        <v>2025-04-04</v>
      </c>
      <c r="D21" s="16"/>
      <c r="E21" s="157">
        <v>100</v>
      </c>
      <c r="F21" s="21">
        <v>30.5</v>
      </c>
      <c r="G21" s="44">
        <f t="shared" si="2"/>
        <v>3050</v>
      </c>
      <c r="H21" s="20"/>
      <c r="I21" s="36">
        <f t="shared" si="3"/>
        <v>3500</v>
      </c>
      <c r="J21" s="31"/>
      <c r="K21" s="36">
        <f>IF(ISERROR(I21/$G$4),0,I21/SUM($E$11:E21))</f>
        <v>0</v>
      </c>
    </row>
    <row r="22" spans="2:11" x14ac:dyDescent="0.2">
      <c r="B22" s="15" t="s">
        <v>350</v>
      </c>
      <c r="C22" s="58" t="d">
        <v>2025-04-21</v>
      </c>
      <c r="D22" s="16"/>
      <c r="E22" s="157">
        <v>-100</v>
      </c>
      <c r="F22" s="21">
        <v>27.5</v>
      </c>
      <c r="G22" s="44">
        <f t="shared" si="2"/>
        <v>-2750</v>
      </c>
      <c r="H22" s="20"/>
      <c r="I22" s="36">
        <f t="shared" si="3"/>
        <v>750</v>
      </c>
      <c r="J22" s="31"/>
      <c r="K22" s="36">
        <f>IF(ISERROR(I22/$G$4),0,I22/SUM($E$11:E22))</f>
        <v>0</v>
      </c>
    </row>
    <row r="23" spans="2:11" x14ac:dyDescent="0.2">
      <c r="B23" s="15"/>
      <c r="C23" s="58"/>
      <c r="D23" s="16"/>
      <c r="E23" s="157"/>
      <c r="F23" s="21"/>
      <c r="G23" s="44">
        <f t="shared" si="2"/>
        <v>0</v>
      </c>
      <c r="H23" s="20"/>
      <c r="I23" s="36">
        <f t="shared" si="3"/>
        <v>750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2"/>
        <v>0</v>
      </c>
      <c r="H24" s="20"/>
      <c r="I24" s="36">
        <f t="shared" si="3"/>
        <v>750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2"/>
        <v>0</v>
      </c>
      <c r="H25" s="20"/>
      <c r="I25" s="36">
        <f t="shared" si="3"/>
        <v>750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2"/>
        <v>0</v>
      </c>
      <c r="H26" s="20"/>
      <c r="I26" s="36">
        <f t="shared" si="3"/>
        <v>750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2"/>
        <v>0</v>
      </c>
      <c r="H27" s="20"/>
      <c r="I27" s="36">
        <f t="shared" si="3"/>
        <v>750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2"/>
        <v>0</v>
      </c>
      <c r="H28" s="20"/>
      <c r="I28" s="36">
        <f t="shared" si="3"/>
        <v>750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2"/>
        <v>0</v>
      </c>
      <c r="H29" s="20"/>
      <c r="I29" s="36">
        <f t="shared" si="3"/>
        <v>750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2"/>
        <v>0</v>
      </c>
      <c r="H30" s="20"/>
      <c r="I30" s="36">
        <f t="shared" si="3"/>
        <v>750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2"/>
        <v>0</v>
      </c>
      <c r="H31" s="20"/>
      <c r="I31" s="36">
        <f t="shared" si="3"/>
        <v>750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2"/>
        <v>0</v>
      </c>
      <c r="H32" s="20"/>
      <c r="I32" s="36">
        <f t="shared" si="3"/>
        <v>750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2"/>
        <v>0</v>
      </c>
      <c r="H33" s="20"/>
      <c r="I33" s="36">
        <f t="shared" si="3"/>
        <v>750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2"/>
        <v>0</v>
      </c>
      <c r="H34" s="20"/>
      <c r="I34" s="36">
        <f t="shared" si="3"/>
        <v>750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2"/>
        <v>0</v>
      </c>
      <c r="H35" s="20"/>
      <c r="I35" s="36">
        <f t="shared" si="3"/>
        <v>750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>E36*F36</f>
        <v>0</v>
      </c>
      <c r="H36" s="20"/>
      <c r="I36" s="36">
        <f>I19+G36</f>
        <v>6150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>E37*F37</f>
        <v>0</v>
      </c>
      <c r="H37" s="20"/>
      <c r="I37" s="36">
        <f>I36+G37</f>
        <v>6150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750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75</v>
      </c>
      <c r="C41" s="58" t="d">
        <v>2024-09-03</v>
      </c>
      <c r="D41" s="16"/>
      <c r="E41" s="155"/>
      <c r="F41" s="21">
        <v>36.1</v>
      </c>
      <c r="G41" s="36">
        <v>-26</v>
      </c>
      <c r="H41" s="20"/>
      <c r="I41" s="36">
        <f>I13+G41</f>
        <v>25874</v>
      </c>
      <c r="J41" s="31" t="s">
        <v>10</v>
      </c>
      <c r="K41" s="36" t="e">
        <f>I41/SUM($E$11:E41)</f>
        <v>#DIV/0!</v>
      </c>
    </row>
    <row r="42" spans="2:11" ht="16" x14ac:dyDescent="0.2">
      <c r="B42" s="39" t="s">
        <v>76</v>
      </c>
      <c r="C42" s="58" t="d">
        <v>2024-09-24</v>
      </c>
      <c r="D42" s="16"/>
      <c r="E42" s="155"/>
      <c r="F42" s="21">
        <v>28.5</v>
      </c>
      <c r="G42" s="36">
        <v>-46</v>
      </c>
      <c r="H42" s="17"/>
      <c r="I42" s="36">
        <f t="shared" ref="I42:I50" si="4">I41+G42</f>
        <v>25828</v>
      </c>
      <c r="J42" s="31" t="s">
        <v>10</v>
      </c>
      <c r="K42" s="36" t="e">
        <f>I42/SUM($E$11:E42)</f>
        <v>#DIV/0!</v>
      </c>
    </row>
    <row r="43" spans="2:11" ht="16" x14ac:dyDescent="0.2">
      <c r="B43" s="39" t="s">
        <v>89</v>
      </c>
      <c r="C43" s="58" t="d">
        <v>2024-10-09</v>
      </c>
      <c r="D43" s="16"/>
      <c r="E43" s="155"/>
      <c r="G43" s="36">
        <v>-45</v>
      </c>
      <c r="H43" s="17"/>
      <c r="I43" s="36">
        <f t="shared" si="4"/>
        <v>25783</v>
      </c>
      <c r="J43" s="31" t="s">
        <v>10</v>
      </c>
      <c r="K43" s="36" t="e">
        <f>I43/SUM($E$11:E43)</f>
        <v>#DIV/0!</v>
      </c>
    </row>
    <row r="44" spans="2:11" ht="16" x14ac:dyDescent="0.2">
      <c r="B44" s="39" t="s">
        <v>97</v>
      </c>
      <c r="C44" s="58" t="d">
        <v>2024-10-17</v>
      </c>
      <c r="D44" s="16"/>
      <c r="E44" s="155"/>
      <c r="F44" s="18">
        <v>28.9</v>
      </c>
      <c r="G44" s="36">
        <v>-55</v>
      </c>
      <c r="H44" s="17"/>
      <c r="I44" s="36">
        <f t="shared" si="4"/>
        <v>25728</v>
      </c>
      <c r="J44" s="31" t="s">
        <v>10</v>
      </c>
      <c r="K44" s="36" t="e">
        <f>I44/SUM($E$11:E44)</f>
        <v>#DIV/0!</v>
      </c>
    </row>
    <row r="45" spans="2:11" ht="16" x14ac:dyDescent="0.2">
      <c r="B45" s="39" t="s">
        <v>103</v>
      </c>
      <c r="C45" s="58" t="d">
        <v>2024-10-22</v>
      </c>
      <c r="D45" s="16"/>
      <c r="E45" s="155"/>
      <c r="F45" s="18"/>
      <c r="G45" s="36">
        <f>-21*4</f>
        <v>-84</v>
      </c>
      <c r="H45" s="17"/>
      <c r="I45" s="36">
        <f t="shared" si="4"/>
        <v>25644</v>
      </c>
      <c r="J45" s="31" t="s">
        <v>122</v>
      </c>
      <c r="K45" s="36" t="e">
        <f>I45/SUM($E$11:E45)</f>
        <v>#DIV/0!</v>
      </c>
    </row>
    <row r="46" spans="2:11" ht="16" x14ac:dyDescent="0.2">
      <c r="B46" s="39" t="s">
        <v>118</v>
      </c>
      <c r="C46" s="58" t="d">
        <v>2024-10-30</v>
      </c>
      <c r="D46" s="16"/>
      <c r="E46" s="155"/>
      <c r="F46" s="18"/>
      <c r="G46" s="36">
        <f>-32*4</f>
        <v>-128</v>
      </c>
      <c r="H46" s="17"/>
      <c r="I46" s="36">
        <f t="shared" si="4"/>
        <v>25516</v>
      </c>
      <c r="J46" s="31" t="s">
        <v>122</v>
      </c>
      <c r="K46" s="36" t="e">
        <f>I46/SUM($E$11:E46)</f>
        <v>#DIV/0!</v>
      </c>
    </row>
    <row r="47" spans="2:11" ht="16" x14ac:dyDescent="0.2">
      <c r="B47" s="39" t="s">
        <v>117</v>
      </c>
      <c r="C47" s="58" t="d">
        <v>2024-10-30</v>
      </c>
      <c r="D47" s="16"/>
      <c r="E47" s="155"/>
      <c r="F47" s="18"/>
      <c r="G47" s="36">
        <v>-17</v>
      </c>
      <c r="H47" s="17"/>
      <c r="I47" s="36">
        <f t="shared" si="4"/>
        <v>25499</v>
      </c>
      <c r="J47" s="31" t="s">
        <v>122</v>
      </c>
      <c r="K47" s="36" t="e">
        <f>I47/SUM($E$11:E47)</f>
        <v>#DIV/0!</v>
      </c>
    </row>
    <row r="48" spans="2:11" ht="16" x14ac:dyDescent="0.2">
      <c r="B48" s="39" t="s">
        <v>125</v>
      </c>
      <c r="C48" s="58" t="d">
        <v>2024-11-04</v>
      </c>
      <c r="D48" s="16"/>
      <c r="E48" s="155"/>
      <c r="F48" s="18"/>
      <c r="G48" s="36">
        <v>-192</v>
      </c>
      <c r="H48" s="17"/>
      <c r="I48" s="36">
        <f t="shared" si="4"/>
        <v>25307</v>
      </c>
      <c r="J48" s="31" t="s">
        <v>10</v>
      </c>
      <c r="K48" s="36" t="e">
        <f>I48/SUM($E$11:E48)</f>
        <v>#DIV/0!</v>
      </c>
    </row>
    <row r="49" spans="2:11" ht="16" x14ac:dyDescent="0.2">
      <c r="B49" s="39" t="s">
        <v>129</v>
      </c>
      <c r="C49" s="58" t="d">
        <v>2024-11-06</v>
      </c>
      <c r="D49" s="16"/>
      <c r="E49" s="155"/>
      <c r="F49" s="18"/>
      <c r="G49" s="36">
        <v>-59</v>
      </c>
      <c r="H49" s="20"/>
      <c r="I49" s="36">
        <f t="shared" si="4"/>
        <v>25248</v>
      </c>
      <c r="J49" s="31" t="s">
        <v>10</v>
      </c>
      <c r="K49" s="36" t="e">
        <f>I49/SUM($E$11:E49)</f>
        <v>#DIV/0!</v>
      </c>
    </row>
    <row r="50" spans="2:11" ht="17" customHeight="1" x14ac:dyDescent="0.2">
      <c r="B50" s="39" t="s">
        <v>133</v>
      </c>
      <c r="C50" s="58" t="d">
        <v>2024-11-11</v>
      </c>
      <c r="D50" s="16"/>
      <c r="E50" s="155"/>
      <c r="F50" s="18"/>
      <c r="G50" s="36">
        <f>-36*9</f>
        <v>-324</v>
      </c>
      <c r="H50" s="20"/>
      <c r="I50" s="36">
        <f t="shared" si="4"/>
        <v>24924</v>
      </c>
      <c r="J50" s="31" t="s">
        <v>10</v>
      </c>
      <c r="K50" s="36" t="e">
        <f>I50/SUM($E$11:E50)</f>
        <v>#DIV/0!</v>
      </c>
    </row>
    <row r="51" spans="2:11" ht="16" x14ac:dyDescent="0.2">
      <c r="B51" s="39" t="s">
        <v>155</v>
      </c>
      <c r="C51" s="58" t="d">
        <v>2024-11-18</v>
      </c>
      <c r="D51" s="16"/>
      <c r="E51" s="155"/>
      <c r="F51" s="18">
        <v>27.57</v>
      </c>
      <c r="G51" s="36">
        <f>-49*9</f>
        <v>-441</v>
      </c>
      <c r="H51" s="20"/>
      <c r="I51" s="36">
        <f t="shared" ref="I51:I76" si="5">I50+G51</f>
        <v>24483</v>
      </c>
      <c r="J51" s="31" t="s">
        <v>122</v>
      </c>
      <c r="K51" s="36" t="e">
        <f>I51/SUM($E$11:E51)</f>
        <v>#DIV/0!</v>
      </c>
    </row>
    <row r="52" spans="2:11" ht="16" x14ac:dyDescent="0.2">
      <c r="B52" s="39" t="s">
        <v>159</v>
      </c>
      <c r="C52" s="58" t="d">
        <v>2024-11-25</v>
      </c>
      <c r="D52" s="16"/>
      <c r="E52" s="155"/>
      <c r="F52" s="18">
        <v>27.5</v>
      </c>
      <c r="G52" s="36">
        <v>-450</v>
      </c>
      <c r="H52" s="20"/>
      <c r="I52" s="36">
        <f t="shared" si="5"/>
        <v>24033</v>
      </c>
      <c r="J52" s="31" t="s">
        <v>122</v>
      </c>
      <c r="K52" s="36" t="e">
        <f>I52/SUM($E$11:E52)</f>
        <v>#DIV/0!</v>
      </c>
    </row>
    <row r="53" spans="2:11" ht="16" x14ac:dyDescent="0.2">
      <c r="B53" s="39" t="s">
        <v>160</v>
      </c>
      <c r="C53" s="58" t="d">
        <v>2024-11-25</v>
      </c>
      <c r="D53" s="16"/>
      <c r="E53" s="155"/>
      <c r="F53" s="18">
        <v>27.5</v>
      </c>
      <c r="G53" s="36">
        <v>-24</v>
      </c>
      <c r="H53" s="20"/>
      <c r="I53" s="36">
        <f t="shared" si="5"/>
        <v>24009</v>
      </c>
      <c r="J53" s="31" t="s">
        <v>10</v>
      </c>
      <c r="K53" s="36" t="e">
        <f>I53/SUM($E$11:E53)</f>
        <v>#DIV/0!</v>
      </c>
    </row>
    <row r="54" spans="2:11" ht="16" x14ac:dyDescent="0.2">
      <c r="B54" s="39" t="s">
        <v>179</v>
      </c>
      <c r="C54" s="58" t="d">
        <v>2024-12-02</v>
      </c>
      <c r="D54" s="16"/>
      <c r="E54" s="155"/>
      <c r="F54" s="18">
        <v>27.86</v>
      </c>
      <c r="G54" s="36">
        <v>-400</v>
      </c>
      <c r="H54" s="20"/>
      <c r="I54" s="36">
        <f t="shared" si="5"/>
        <v>23609</v>
      </c>
      <c r="J54" s="31" t="s">
        <v>122</v>
      </c>
      <c r="K54" s="36" t="e">
        <f>I54/SUM($E$11:E54)</f>
        <v>#DIV/0!</v>
      </c>
    </row>
    <row r="55" spans="2:11" ht="16" x14ac:dyDescent="0.2">
      <c r="B55" s="39" t="s">
        <v>204</v>
      </c>
      <c r="C55" s="58" t="d">
        <v>2024-12-13</v>
      </c>
      <c r="D55" s="16"/>
      <c r="E55" s="155"/>
      <c r="F55" s="18"/>
      <c r="G55" s="36">
        <f>-12*5</f>
        <v>-60</v>
      </c>
      <c r="H55" s="20"/>
      <c r="I55" s="36">
        <f t="shared" si="5"/>
        <v>23549</v>
      </c>
      <c r="J55" s="31" t="s">
        <v>122</v>
      </c>
      <c r="K55" s="36" t="e">
        <f>I55/SUM($E$11:E55)</f>
        <v>#DIV/0!</v>
      </c>
    </row>
    <row r="56" spans="2:11" ht="16" customHeight="1" x14ac:dyDescent="0.2">
      <c r="B56" s="39" t="s">
        <v>210</v>
      </c>
      <c r="C56" s="58" t="d">
        <v>2024-12-23</v>
      </c>
      <c r="D56" s="16"/>
      <c r="E56" s="155"/>
      <c r="F56" s="18">
        <v>26.88</v>
      </c>
      <c r="G56" s="36">
        <f>-7*5</f>
        <v>-35</v>
      </c>
      <c r="H56" s="20"/>
      <c r="I56" s="36">
        <f t="shared" si="5"/>
        <v>23514</v>
      </c>
      <c r="J56" s="31" t="s">
        <v>10</v>
      </c>
      <c r="K56" s="36" t="e">
        <f>I56/SUM($E$11:E56)</f>
        <v>#DIV/0!</v>
      </c>
    </row>
    <row r="57" spans="2:11" ht="16" customHeight="1" x14ac:dyDescent="0.2">
      <c r="B57" s="39" t="s">
        <v>430</v>
      </c>
      <c r="C57" s="58" t="d">
        <v>2025-12-23</v>
      </c>
      <c r="D57" s="16"/>
      <c r="E57" s="155"/>
      <c r="F57" s="18"/>
      <c r="G57" s="36">
        <f>-8*4</f>
        <v>-32</v>
      </c>
      <c r="H57" s="20"/>
      <c r="I57" s="36">
        <f t="shared" si="5"/>
        <v>23482</v>
      </c>
      <c r="J57" s="31" t="s">
        <v>10</v>
      </c>
      <c r="K57" s="36" t="e">
        <f>I57/SUM($E$11:E57)</f>
        <v>#DIV/0!</v>
      </c>
    </row>
    <row r="58" spans="2:11" ht="18" customHeight="1" x14ac:dyDescent="0.2">
      <c r="B58" s="39" t="s">
        <v>221</v>
      </c>
      <c r="C58" s="58" t="d">
        <v>2025-01-06</v>
      </c>
      <c r="D58" s="16"/>
      <c r="E58" s="155"/>
      <c r="F58" s="18"/>
      <c r="G58" s="36">
        <f>-18*5</f>
        <v>-90</v>
      </c>
      <c r="H58" s="20"/>
      <c r="I58" s="36">
        <f>I56+G58</f>
        <v>23424</v>
      </c>
      <c r="J58" s="31" t="s">
        <v>122</v>
      </c>
      <c r="K58" s="36" t="e">
        <f>I58/SUM($E$11:E58)</f>
        <v>#DIV/0!</v>
      </c>
    </row>
    <row r="59" spans="2:11" ht="16" x14ac:dyDescent="0.2">
      <c r="B59" s="39" t="s">
        <v>226</v>
      </c>
      <c r="C59" s="58" t="d">
        <v>2025-01-13</v>
      </c>
      <c r="D59" s="16"/>
      <c r="E59" s="155"/>
      <c r="F59" s="18"/>
      <c r="G59" s="36">
        <f>-12*5</f>
        <v>-60</v>
      </c>
      <c r="H59" s="20"/>
      <c r="I59" s="36">
        <f t="shared" si="5"/>
        <v>23364</v>
      </c>
      <c r="J59" s="31" t="s">
        <v>10</v>
      </c>
      <c r="K59" s="36" t="e">
        <f>I59/SUM($E$11:E59)</f>
        <v>#DIV/0!</v>
      </c>
    </row>
    <row r="60" spans="2:11" ht="16" x14ac:dyDescent="0.2">
      <c r="B60" s="39" t="s">
        <v>250</v>
      </c>
      <c r="C60" s="58" t="d">
        <v>2025-01-22</v>
      </c>
      <c r="D60" s="16"/>
      <c r="E60" s="155"/>
      <c r="F60" s="18"/>
      <c r="G60" s="36">
        <f>-26*5</f>
        <v>-130</v>
      </c>
      <c r="H60" s="20"/>
      <c r="I60" s="36">
        <f t="shared" si="5"/>
        <v>23234</v>
      </c>
      <c r="J60" s="31" t="s">
        <v>10</v>
      </c>
      <c r="K60" s="36" t="e">
        <f>I60/SUM($E$11:E60)</f>
        <v>#DIV/0!</v>
      </c>
    </row>
    <row r="61" spans="2:11" ht="16" x14ac:dyDescent="0.2">
      <c r="B61" s="39" t="s">
        <v>262</v>
      </c>
      <c r="C61" s="58" t="d">
        <v>2025-02-05</v>
      </c>
      <c r="D61" s="16"/>
      <c r="E61" s="155"/>
      <c r="F61" s="18"/>
      <c r="G61" s="36">
        <f>-20*5</f>
        <v>-100</v>
      </c>
      <c r="H61" s="20"/>
      <c r="I61" s="36">
        <f t="shared" si="5"/>
        <v>23134</v>
      </c>
      <c r="J61" s="31" t="s">
        <v>10</v>
      </c>
      <c r="K61" s="36" t="e">
        <f>I61/SUM($E$11:E61)</f>
        <v>#DIV/0!</v>
      </c>
    </row>
    <row r="62" spans="2:11" ht="16" x14ac:dyDescent="0.2">
      <c r="B62" s="39" t="s">
        <v>278</v>
      </c>
      <c r="C62" s="58" t="d">
        <v>2025-02-14</v>
      </c>
      <c r="D62" s="16"/>
      <c r="E62" s="155"/>
      <c r="F62" s="18"/>
      <c r="G62" s="36">
        <f>-14*5</f>
        <v>-70</v>
      </c>
      <c r="H62" s="20"/>
      <c r="I62" s="36">
        <f t="shared" si="5"/>
        <v>23064</v>
      </c>
      <c r="J62" s="31" t="s">
        <v>10</v>
      </c>
      <c r="K62" s="36" t="e">
        <f>I62/SUM($E$11:E62)</f>
        <v>#DIV/0!</v>
      </c>
    </row>
    <row r="63" spans="2:11" ht="16" x14ac:dyDescent="0.2">
      <c r="B63" s="39" t="s">
        <v>283</v>
      </c>
      <c r="C63" s="58" t="d">
        <v>2025-02-24</v>
      </c>
      <c r="D63" s="16"/>
      <c r="E63" s="155"/>
      <c r="F63" s="18"/>
      <c r="G63" s="36">
        <v>-16</v>
      </c>
      <c r="H63" s="20"/>
      <c r="I63" s="36">
        <f t="shared" si="5"/>
        <v>23048</v>
      </c>
      <c r="J63" s="31" t="s">
        <v>122</v>
      </c>
      <c r="K63" s="36" t="e">
        <f>I63/SUM($E$11:E63)</f>
        <v>#DIV/0!</v>
      </c>
    </row>
    <row r="64" spans="2:11" ht="16" x14ac:dyDescent="0.2">
      <c r="B64" s="39" t="s">
        <v>304</v>
      </c>
      <c r="C64" s="58" t="d">
        <v>2025-03-03</v>
      </c>
      <c r="D64" s="16"/>
      <c r="E64" s="155"/>
      <c r="F64" s="18"/>
      <c r="G64" s="36">
        <f>-47*2</f>
        <v>-94</v>
      </c>
      <c r="H64" s="20"/>
      <c r="I64" s="36">
        <f t="shared" si="5"/>
        <v>22954</v>
      </c>
      <c r="J64" s="31" t="s">
        <v>10</v>
      </c>
      <c r="K64" s="36" t="e">
        <f>I64/SUM($E$11:E64)</f>
        <v>#DIV/0!</v>
      </c>
    </row>
    <row r="65" spans="2:11" ht="16" customHeight="1" x14ac:dyDescent="0.2">
      <c r="B65" s="39" t="s">
        <v>303</v>
      </c>
      <c r="C65" s="58" t="d">
        <v>2025-03-10</v>
      </c>
      <c r="D65" s="16"/>
      <c r="E65" s="155"/>
      <c r="F65" s="18"/>
      <c r="G65" s="36">
        <v>-13</v>
      </c>
      <c r="H65" s="20"/>
      <c r="I65" s="36">
        <f t="shared" si="5"/>
        <v>22941</v>
      </c>
      <c r="J65" s="31" t="s">
        <v>10</v>
      </c>
      <c r="K65" s="36" t="e">
        <f>I65/SUM($E$11:E65)</f>
        <v>#DIV/0!</v>
      </c>
    </row>
    <row r="66" spans="2:11" ht="17" customHeight="1" x14ac:dyDescent="0.2">
      <c r="B66" s="39" t="s">
        <v>326</v>
      </c>
      <c r="C66" s="58" t="d">
        <v>2025-03-24</v>
      </c>
      <c r="D66" s="16"/>
      <c r="E66" s="155"/>
      <c r="F66" s="18"/>
      <c r="G66" s="36">
        <f>-13*2</f>
        <v>-26</v>
      </c>
      <c r="H66" s="20"/>
      <c r="I66" s="36">
        <f t="shared" si="5"/>
        <v>22915</v>
      </c>
      <c r="J66" s="31" t="s">
        <v>10</v>
      </c>
      <c r="K66" s="36" t="e">
        <f>I66/SUM($E$11:E66)</f>
        <v>#DIV/0!</v>
      </c>
    </row>
    <row r="67" spans="2:11" ht="16" customHeight="1" x14ac:dyDescent="0.2">
      <c r="B67" s="39" t="s">
        <v>327</v>
      </c>
      <c r="C67" s="58" t="d">
        <v>2025-03-26</v>
      </c>
      <c r="D67" s="16"/>
      <c r="E67" s="155"/>
      <c r="F67" s="18"/>
      <c r="G67" s="36">
        <v>-45</v>
      </c>
      <c r="H67" s="20"/>
      <c r="I67" s="36">
        <f t="shared" si="5"/>
        <v>22870</v>
      </c>
      <c r="J67" s="31" t="s">
        <v>122</v>
      </c>
      <c r="K67" s="36" t="e">
        <f>I67/SUM($E$11:E67)</f>
        <v>#DIV/0!</v>
      </c>
    </row>
    <row r="68" spans="2:11" ht="17" customHeight="1" x14ac:dyDescent="0.2">
      <c r="B68" s="39" t="s">
        <v>329</v>
      </c>
      <c r="C68" s="58" t="d">
        <v>2025-04-07</v>
      </c>
      <c r="D68" s="16"/>
      <c r="E68" s="155"/>
      <c r="F68" s="18"/>
      <c r="G68" s="36">
        <v>-71</v>
      </c>
      <c r="H68" s="20"/>
      <c r="I68" s="36">
        <f t="shared" si="5"/>
        <v>22799</v>
      </c>
      <c r="J68" s="31" t="s">
        <v>122</v>
      </c>
      <c r="K68" s="36" t="e">
        <f>I68/SUM($E$11:E68)</f>
        <v>#DIV/0!</v>
      </c>
    </row>
    <row r="69" spans="2:11" ht="16" x14ac:dyDescent="0.2">
      <c r="B69" s="39" t="s">
        <v>348</v>
      </c>
      <c r="C69" s="58" t="d">
        <v>2025-04-16</v>
      </c>
      <c r="D69" s="16"/>
      <c r="E69" s="155"/>
      <c r="F69" s="18"/>
      <c r="G69" s="36">
        <v>-22</v>
      </c>
      <c r="H69" s="20"/>
      <c r="I69" s="36">
        <f t="shared" si="5"/>
        <v>22777</v>
      </c>
      <c r="J69" s="31" t="s">
        <v>10</v>
      </c>
      <c r="K69" s="36" t="e">
        <f>I69/SUM($E$11:E69)</f>
        <v>#DIV/0!</v>
      </c>
    </row>
    <row r="70" spans="2:11" ht="16" x14ac:dyDescent="0.2">
      <c r="B70" s="39" t="s">
        <v>349</v>
      </c>
      <c r="C70" s="58" t="d">
        <v>2025-04-17</v>
      </c>
      <c r="D70" s="16"/>
      <c r="E70" s="155"/>
      <c r="F70" s="18"/>
      <c r="G70" s="36">
        <f>-17*2</f>
        <v>-34</v>
      </c>
      <c r="H70" s="20"/>
      <c r="I70" s="36">
        <f t="shared" si="5"/>
        <v>22743</v>
      </c>
      <c r="J70" s="31" t="s">
        <v>10</v>
      </c>
      <c r="K70" s="36" t="e">
        <f>I70/SUM($E$11:E70)</f>
        <v>#DIV/0!</v>
      </c>
    </row>
    <row r="71" spans="2:11" ht="16" x14ac:dyDescent="0.2">
      <c r="B71" s="39" t="s">
        <v>375</v>
      </c>
      <c r="C71" s="58" t="d">
        <v>2025-04-22</v>
      </c>
      <c r="D71" s="16"/>
      <c r="E71" s="155"/>
      <c r="F71" s="18"/>
      <c r="G71" s="36">
        <v>-19</v>
      </c>
      <c r="H71" s="20"/>
      <c r="I71" s="36">
        <f t="shared" si="5"/>
        <v>22724</v>
      </c>
      <c r="J71" s="31" t="s">
        <v>10</v>
      </c>
      <c r="K71" s="36" t="e">
        <f>I71/SUM($E$11:E71)</f>
        <v>#DIV/0!</v>
      </c>
    </row>
    <row r="72" spans="2:11" ht="16" x14ac:dyDescent="0.2">
      <c r="B72" s="39" t="s">
        <v>429</v>
      </c>
      <c r="C72" s="58" t="d">
        <v>2025-04-30</v>
      </c>
      <c r="D72" s="16"/>
      <c r="E72" s="155"/>
      <c r="F72" s="18"/>
      <c r="G72" s="36">
        <f>-16*4</f>
        <v>-64</v>
      </c>
      <c r="H72" s="20"/>
      <c r="I72" s="36">
        <f t="shared" si="5"/>
        <v>22660</v>
      </c>
      <c r="J72" s="31" t="s">
        <v>10</v>
      </c>
      <c r="K72" s="36" t="e">
        <f>I72/SUM($E$11:E72)</f>
        <v>#DIV/0!</v>
      </c>
    </row>
    <row r="73" spans="2:11" ht="16" x14ac:dyDescent="0.2">
      <c r="B73" s="39" t="s">
        <v>595</v>
      </c>
      <c r="C73" s="58" t="d">
        <v>2025-05-13</v>
      </c>
      <c r="D73" s="16"/>
      <c r="E73" s="155"/>
      <c r="F73" s="18"/>
      <c r="G73" s="36">
        <f>-3*17</f>
        <v>-51</v>
      </c>
      <c r="H73" s="20"/>
      <c r="I73" s="36">
        <f t="shared" si="5"/>
        <v>22609</v>
      </c>
      <c r="J73" s="31" t="s">
        <v>10</v>
      </c>
      <c r="K73" s="36" t="e">
        <f>I73/SUM($E$11:E73)</f>
        <v>#DIV/0!</v>
      </c>
    </row>
    <row r="74" spans="2:11" ht="16" x14ac:dyDescent="0.2">
      <c r="B74" s="39" t="s">
        <v>596</v>
      </c>
      <c r="C74" s="58" t="d">
        <v>2025-06-03</v>
      </c>
      <c r="D74" s="16"/>
      <c r="E74" s="155"/>
      <c r="F74" s="18"/>
      <c r="G74" s="36">
        <f>-4*24</f>
        <v>-96</v>
      </c>
      <c r="H74" s="20"/>
      <c r="I74" s="36">
        <f t="shared" si="5"/>
        <v>22513</v>
      </c>
      <c r="J74" s="31" t="s">
        <v>10</v>
      </c>
      <c r="K74" s="36" t="e">
        <f>I74/SUM($E$11:E74)</f>
        <v>#DIV/0!</v>
      </c>
    </row>
    <row r="75" spans="2:11" ht="16" x14ac:dyDescent="0.2">
      <c r="B75" s="39" t="s">
        <v>597</v>
      </c>
      <c r="C75" s="58" t="d">
        <v>2025-10-08</v>
      </c>
      <c r="D75" s="16"/>
      <c r="E75" s="155"/>
      <c r="F75" s="18"/>
      <c r="G75" s="36">
        <f>-4*101</f>
        <v>-404</v>
      </c>
      <c r="H75" s="20"/>
      <c r="I75" s="36">
        <f t="shared" si="5"/>
        <v>22109</v>
      </c>
      <c r="J75" s="31"/>
      <c r="K75" s="36" t="e">
        <f>I75/SUM($E$11:E75)</f>
        <v>#DIV/0!</v>
      </c>
    </row>
    <row r="76" spans="2:11" ht="16" x14ac:dyDescent="0.2">
      <c r="B76" s="39" t="s">
        <v>598</v>
      </c>
      <c r="C76" s="58" t="d">
        <v>2025-10-09</v>
      </c>
      <c r="D76" s="16"/>
      <c r="E76" s="155"/>
      <c r="F76" s="18"/>
      <c r="G76" s="36">
        <f>-4*24</f>
        <v>-96</v>
      </c>
      <c r="H76" s="20"/>
      <c r="I76" s="36">
        <f t="shared" si="5"/>
        <v>22013</v>
      </c>
      <c r="J76" s="31"/>
      <c r="K76" s="36" t="e">
        <f>I76/SUM($E$11:E76)</f>
        <v>#DIV/0!</v>
      </c>
    </row>
    <row r="77" spans="2:11" x14ac:dyDescent="0.2">
      <c r="B77" s="39"/>
      <c r="C77" s="58"/>
      <c r="D77" s="16"/>
      <c r="E77" s="155"/>
      <c r="F77" s="18"/>
      <c r="G77" s="36">
        <f t="shared" ref="G77:G97" si="6">-4*24</f>
        <v>-96</v>
      </c>
      <c r="H77" s="20"/>
      <c r="I77" s="36">
        <f t="shared" ref="I77:I97" si="7">I76+G77</f>
        <v>21917</v>
      </c>
      <c r="J77" s="31"/>
      <c r="K77" s="36" t="e">
        <f>I77/SUM($E$11:E77)</f>
        <v>#DIV/0!</v>
      </c>
    </row>
    <row r="78" spans="2:11" x14ac:dyDescent="0.2">
      <c r="B78" s="39"/>
      <c r="C78" s="58"/>
      <c r="D78" s="16"/>
      <c r="E78" s="155"/>
      <c r="F78" s="18"/>
      <c r="G78" s="36">
        <f t="shared" si="6"/>
        <v>-96</v>
      </c>
      <c r="H78" s="20"/>
      <c r="I78" s="36">
        <f t="shared" si="7"/>
        <v>21821</v>
      </c>
      <c r="J78" s="31"/>
      <c r="K78" s="36" t="e">
        <f>I78/SUM($E$11:E78)</f>
        <v>#DIV/0!</v>
      </c>
    </row>
    <row r="79" spans="2:11" x14ac:dyDescent="0.2">
      <c r="B79" s="39"/>
      <c r="C79" s="58"/>
      <c r="D79" s="16"/>
      <c r="E79" s="155"/>
      <c r="F79" s="18"/>
      <c r="G79" s="36">
        <f t="shared" si="6"/>
        <v>-96</v>
      </c>
      <c r="H79" s="20"/>
      <c r="I79" s="36">
        <f t="shared" si="7"/>
        <v>21725</v>
      </c>
      <c r="J79" s="31"/>
      <c r="K79" s="36" t="e">
        <f>I79/SUM($E$11:E79)</f>
        <v>#DIV/0!</v>
      </c>
    </row>
    <row r="80" spans="2:11" x14ac:dyDescent="0.2">
      <c r="B80" s="39"/>
      <c r="C80" s="58"/>
      <c r="D80" s="16"/>
      <c r="E80" s="155"/>
      <c r="F80" s="18"/>
      <c r="G80" s="36">
        <f t="shared" si="6"/>
        <v>-96</v>
      </c>
      <c r="H80" s="20"/>
      <c r="I80" s="36">
        <f t="shared" si="7"/>
        <v>21629</v>
      </c>
      <c r="J80" s="31"/>
      <c r="K80" s="36" t="e">
        <f>I80/SUM($E$11:E80)</f>
        <v>#DIV/0!</v>
      </c>
    </row>
    <row r="81" spans="2:11" x14ac:dyDescent="0.2">
      <c r="B81" s="39"/>
      <c r="C81" s="58"/>
      <c r="D81" s="16"/>
      <c r="E81" s="155"/>
      <c r="F81" s="18"/>
      <c r="G81" s="36">
        <f t="shared" si="6"/>
        <v>-96</v>
      </c>
      <c r="H81" s="20"/>
      <c r="I81" s="36">
        <f t="shared" si="7"/>
        <v>21533</v>
      </c>
      <c r="J81" s="31"/>
      <c r="K81" s="36" t="e">
        <f>I81/SUM($E$11:E81)</f>
        <v>#DIV/0!</v>
      </c>
    </row>
    <row r="82" spans="2:11" x14ac:dyDescent="0.2">
      <c r="B82" s="39"/>
      <c r="C82" s="58"/>
      <c r="D82" s="16"/>
      <c r="E82" s="155"/>
      <c r="F82" s="18"/>
      <c r="G82" s="36">
        <f t="shared" si="6"/>
        <v>-96</v>
      </c>
      <c r="H82" s="20"/>
      <c r="I82" s="36">
        <f t="shared" si="7"/>
        <v>21437</v>
      </c>
      <c r="J82" s="31"/>
      <c r="K82" s="36" t="e">
        <f>I82/SUM($E$11:E82)</f>
        <v>#DIV/0!</v>
      </c>
    </row>
    <row r="83" spans="2:11" x14ac:dyDescent="0.2">
      <c r="B83" s="39"/>
      <c r="C83" s="58"/>
      <c r="D83" s="16"/>
      <c r="E83" s="155"/>
      <c r="F83" s="18"/>
      <c r="G83" s="36">
        <f t="shared" si="6"/>
        <v>-96</v>
      </c>
      <c r="H83" s="20"/>
      <c r="I83" s="36">
        <f t="shared" si="7"/>
        <v>21341</v>
      </c>
      <c r="J83" s="31"/>
      <c r="K83" s="36" t="e">
        <f>I83/SUM($E$11:E83)</f>
        <v>#DIV/0!</v>
      </c>
    </row>
    <row r="84" spans="2:11" x14ac:dyDescent="0.2">
      <c r="B84" s="39"/>
      <c r="C84" s="58"/>
      <c r="D84" s="16"/>
      <c r="E84" s="155"/>
      <c r="F84" s="18"/>
      <c r="G84" s="36">
        <f t="shared" si="6"/>
        <v>-96</v>
      </c>
      <c r="H84" s="20"/>
      <c r="I84" s="36">
        <f t="shared" si="7"/>
        <v>21245</v>
      </c>
      <c r="J84" s="31"/>
      <c r="K84" s="36" t="e">
        <f>I84/SUM($E$11:E84)</f>
        <v>#DIV/0!</v>
      </c>
    </row>
    <row r="85" spans="2:11" x14ac:dyDescent="0.2">
      <c r="B85" s="39"/>
      <c r="C85" s="58"/>
      <c r="D85" s="16"/>
      <c r="E85" s="155"/>
      <c r="F85" s="18"/>
      <c r="G85" s="36">
        <f t="shared" si="6"/>
        <v>-96</v>
      </c>
      <c r="H85" s="20"/>
      <c r="I85" s="36">
        <f t="shared" si="7"/>
        <v>21149</v>
      </c>
      <c r="J85" s="31"/>
      <c r="K85" s="36" t="e">
        <f>I85/SUM($E$11:E85)</f>
        <v>#DIV/0!</v>
      </c>
    </row>
    <row r="86" spans="2:11" x14ac:dyDescent="0.2">
      <c r="B86" s="39"/>
      <c r="C86" s="58"/>
      <c r="D86" s="16"/>
      <c r="E86" s="155"/>
      <c r="F86" s="18"/>
      <c r="G86" s="36">
        <f t="shared" si="6"/>
        <v>-96</v>
      </c>
      <c r="H86" s="20"/>
      <c r="I86" s="36">
        <f t="shared" si="7"/>
        <v>21053</v>
      </c>
      <c r="J86" s="31"/>
      <c r="K86" s="36" t="e">
        <f>I86/SUM($E$11:E86)</f>
        <v>#DIV/0!</v>
      </c>
    </row>
    <row r="87" spans="2:11" x14ac:dyDescent="0.2">
      <c r="B87" s="39"/>
      <c r="C87" s="58"/>
      <c r="D87" s="16"/>
      <c r="E87" s="155"/>
      <c r="F87" s="18"/>
      <c r="G87" s="36">
        <f t="shared" si="6"/>
        <v>-96</v>
      </c>
      <c r="H87" s="20"/>
      <c r="I87" s="36">
        <f t="shared" si="7"/>
        <v>20957</v>
      </c>
      <c r="J87" s="31"/>
      <c r="K87" s="36" t="e">
        <f>I87/SUM($E$11:E87)</f>
        <v>#DIV/0!</v>
      </c>
    </row>
    <row r="88" spans="2:11" x14ac:dyDescent="0.2">
      <c r="B88" s="39"/>
      <c r="C88" s="58"/>
      <c r="D88" s="16"/>
      <c r="E88" s="155"/>
      <c r="F88" s="18"/>
      <c r="G88" s="36">
        <f t="shared" si="6"/>
        <v>-96</v>
      </c>
      <c r="H88" s="20"/>
      <c r="I88" s="36">
        <f t="shared" si="7"/>
        <v>20861</v>
      </c>
      <c r="J88" s="31"/>
      <c r="K88" s="36" t="e">
        <f>I88/SUM($E$11:E88)</f>
        <v>#DIV/0!</v>
      </c>
    </row>
    <row r="89" spans="2:11" x14ac:dyDescent="0.2">
      <c r="B89" s="39"/>
      <c r="C89" s="58"/>
      <c r="D89" s="16"/>
      <c r="E89" s="155"/>
      <c r="F89" s="18"/>
      <c r="G89" s="36">
        <f t="shared" si="6"/>
        <v>-96</v>
      </c>
      <c r="H89" s="20"/>
      <c r="I89" s="36">
        <f t="shared" si="7"/>
        <v>20765</v>
      </c>
      <c r="J89" s="31"/>
      <c r="K89" s="36" t="e">
        <f>I89/SUM($E$11:E89)</f>
        <v>#DIV/0!</v>
      </c>
    </row>
    <row r="90" spans="2:11" x14ac:dyDescent="0.2">
      <c r="B90" s="39"/>
      <c r="C90" s="58"/>
      <c r="D90" s="16"/>
      <c r="E90" s="155"/>
      <c r="F90" s="18"/>
      <c r="G90" s="36">
        <f t="shared" si="6"/>
        <v>-96</v>
      </c>
      <c r="H90" s="20"/>
      <c r="I90" s="36">
        <f t="shared" si="7"/>
        <v>20669</v>
      </c>
      <c r="J90" s="31"/>
      <c r="K90" s="36" t="e">
        <f>I90/SUM($E$11:E90)</f>
        <v>#DIV/0!</v>
      </c>
    </row>
    <row r="91" spans="2:11" x14ac:dyDescent="0.2">
      <c r="B91" s="39"/>
      <c r="C91" s="58"/>
      <c r="D91" s="16"/>
      <c r="E91" s="155"/>
      <c r="F91" s="18"/>
      <c r="G91" s="36">
        <f t="shared" si="6"/>
        <v>-96</v>
      </c>
      <c r="H91" s="20"/>
      <c r="I91" s="36">
        <f t="shared" si="7"/>
        <v>20573</v>
      </c>
      <c r="J91" s="31"/>
      <c r="K91" s="36" t="e">
        <f>I91/SUM($E$11:E91)</f>
        <v>#DIV/0!</v>
      </c>
    </row>
    <row r="92" spans="2:11" x14ac:dyDescent="0.2">
      <c r="B92" s="39"/>
      <c r="C92" s="58"/>
      <c r="D92" s="16"/>
      <c r="E92" s="155"/>
      <c r="F92" s="18"/>
      <c r="G92" s="36">
        <f t="shared" si="6"/>
        <v>-96</v>
      </c>
      <c r="H92" s="20"/>
      <c r="I92" s="36">
        <f t="shared" si="7"/>
        <v>20477</v>
      </c>
      <c r="J92" s="31"/>
      <c r="K92" s="36" t="e">
        <f>I92/SUM($E$11:E92)</f>
        <v>#DIV/0!</v>
      </c>
    </row>
    <row r="93" spans="2:11" x14ac:dyDescent="0.2">
      <c r="B93" s="39"/>
      <c r="C93" s="58"/>
      <c r="D93" s="16"/>
      <c r="E93" s="155"/>
      <c r="F93" s="18"/>
      <c r="G93" s="36">
        <f t="shared" si="6"/>
        <v>-96</v>
      </c>
      <c r="H93" s="20"/>
      <c r="I93" s="36">
        <f t="shared" si="7"/>
        <v>20381</v>
      </c>
      <c r="J93" s="31"/>
      <c r="K93" s="36" t="e">
        <f>I93/SUM($E$11:E93)</f>
        <v>#DIV/0!</v>
      </c>
    </row>
    <row r="94" spans="2:11" x14ac:dyDescent="0.2">
      <c r="B94" s="39"/>
      <c r="C94" s="58"/>
      <c r="D94" s="16"/>
      <c r="E94" s="155"/>
      <c r="F94" s="18"/>
      <c r="G94" s="36">
        <f t="shared" si="6"/>
        <v>-96</v>
      </c>
      <c r="H94" s="20"/>
      <c r="I94" s="36">
        <f t="shared" si="7"/>
        <v>20285</v>
      </c>
      <c r="J94" s="31"/>
      <c r="K94" s="36" t="e">
        <f>I94/SUM($E$11:E94)</f>
        <v>#DIV/0!</v>
      </c>
    </row>
    <row r="95" spans="2:11" x14ac:dyDescent="0.2">
      <c r="B95" s="39"/>
      <c r="C95" s="58"/>
      <c r="D95" s="16"/>
      <c r="E95" s="155"/>
      <c r="F95" s="18"/>
      <c r="G95" s="36">
        <f t="shared" si="6"/>
        <v>-96</v>
      </c>
      <c r="H95" s="20"/>
      <c r="I95" s="36">
        <f t="shared" si="7"/>
        <v>20189</v>
      </c>
      <c r="J95" s="31"/>
      <c r="K95" s="36" t="e">
        <f>I95/SUM($E$11:E95)</f>
        <v>#DIV/0!</v>
      </c>
    </row>
    <row r="96" spans="2:11" x14ac:dyDescent="0.2">
      <c r="B96" s="39"/>
      <c r="C96" s="58"/>
      <c r="D96" s="16"/>
      <c r="E96" s="155"/>
      <c r="F96" s="18"/>
      <c r="G96" s="36">
        <f t="shared" si="6"/>
        <v>-96</v>
      </c>
      <c r="H96" s="20"/>
      <c r="I96" s="36">
        <f t="shared" si="7"/>
        <v>20093</v>
      </c>
      <c r="J96" s="31"/>
      <c r="K96" s="36" t="e">
        <f>I96/SUM($E$11:E96)</f>
        <v>#DIV/0!</v>
      </c>
    </row>
    <row r="97" spans="2:11" x14ac:dyDescent="0.2">
      <c r="B97" s="39"/>
      <c r="C97" s="58"/>
      <c r="D97" s="16"/>
      <c r="E97" s="155"/>
      <c r="F97" s="18"/>
      <c r="G97" s="36">
        <f t="shared" si="6"/>
        <v>-96</v>
      </c>
      <c r="H97" s="20"/>
      <c r="I97" s="36">
        <f t="shared" si="7"/>
        <v>19997</v>
      </c>
      <c r="J97" s="31"/>
      <c r="K97" s="36" t="e">
        <f>I97/SUM($E$11:E97)</f>
        <v>#DIV/0!</v>
      </c>
    </row>
    <row r="98" spans="2:11" x14ac:dyDescent="0.2">
      <c r="B98" s="39"/>
      <c r="C98" s="58"/>
      <c r="D98" s="16"/>
      <c r="E98" s="155"/>
      <c r="F98" s="18"/>
      <c r="G98" s="36">
        <v>0</v>
      </c>
      <c r="H98" s="20"/>
      <c r="I98" s="36">
        <f>I76+G98</f>
        <v>22013</v>
      </c>
      <c r="J98" s="31"/>
      <c r="K98" s="36" t="e">
        <f>I98/SUM($E$11:E98)</f>
        <v>#DIV/0!</v>
      </c>
    </row>
    <row r="99" spans="2:11" ht="19" x14ac:dyDescent="0.25">
      <c r="B99" s="15"/>
      <c r="C99" s="58"/>
      <c r="D99" s="16"/>
      <c r="E99" s="155"/>
      <c r="F99" s="18"/>
      <c r="G99" s="137">
        <f>SUM(G41:G98)</f>
        <v>-5935</v>
      </c>
      <c r="H99" s="20"/>
      <c r="I99" s="19"/>
      <c r="J99" s="31"/>
      <c r="K99" s="137" t="e">
        <f>K98</f>
        <v>#DIV/0!</v>
      </c>
    </row>
    <row r="100" spans="2:11" ht="4.75" customHeight="1" x14ac:dyDescent="0.2">
      <c r="B100" s="15"/>
      <c r="C100" s="58"/>
      <c r="D100" s="17"/>
      <c r="E100" s="155"/>
      <c r="F100" s="18"/>
      <c r="G100" s="19"/>
      <c r="H100" s="20"/>
      <c r="I100" s="20"/>
      <c r="J100" s="31"/>
      <c r="K100" s="17"/>
    </row>
    <row r="101" spans="2:11" ht="19" x14ac:dyDescent="0.25">
      <c r="B101" s="15"/>
      <c r="C101" s="58"/>
      <c r="D101" s="17"/>
      <c r="E101" s="158"/>
      <c r="F101" s="24"/>
      <c r="H101" s="20"/>
      <c r="I101" s="20"/>
      <c r="J101" s="31"/>
      <c r="K101" s="17"/>
    </row>
  </sheetData>
  <mergeCells count="2">
    <mergeCell ref="B8:G8"/>
    <mergeCell ref="B1:C1"/>
  </mergeCells>
  <phoneticPr fontId="11" type="noConversion"/>
  <conditionalFormatting sqref="B99:B138">
    <cfRule type="expression" dxfId="153" priority="33" stopIfTrue="1">
      <formula>J99="assigned"</formula>
    </cfRule>
    <cfRule type="expression" dxfId="152" priority="34">
      <formula>J99="expired"</formula>
    </cfRule>
  </conditionalFormatting>
  <conditionalFormatting sqref="B99:B138">
    <cfRule type="expression" dxfId="151" priority="19">
      <formula>AND(ISNUMBER(SEARCH("call", B99)), J99="expired")</formula>
    </cfRule>
    <cfRule type="expression" dxfId="150" priority="20">
      <formula>AND(ISNUMBER(SEARCH("call", B99)), J99="assigned")</formula>
    </cfRule>
  </conditionalFormatting>
  <conditionalFormatting sqref="B41:B98">
    <cfRule type="expression" dxfId="149" priority="6" stopIfTrue="1">
      <formula>J41="ROLL"</formula>
    </cfRule>
    <cfRule type="expression" dxfId="148" priority="7" stopIfTrue="1">
      <formula>AND(ISNUMBER(SEARCH("call", B41)), J41="expired")</formula>
    </cfRule>
    <cfRule type="expression" dxfId="147" priority="8" stopIfTrue="1">
      <formula>AND(ISNUMBER(SEARCH("call", B41)), J41="assigned")</formula>
    </cfRule>
    <cfRule type="expression" dxfId="146" priority="9" stopIfTrue="1">
      <formula>J41="assigned"</formula>
    </cfRule>
    <cfRule type="expression" dxfId="145" priority="10">
      <formula>J41="expired"</formula>
    </cfRule>
  </conditionalFormatting>
  <conditionalFormatting sqref="B21">
    <cfRule type="expression" dxfId="144" priority="1" stopIfTrue="1">
      <formula>J21="ROLL"</formula>
    </cfRule>
    <cfRule type="expression" dxfId="143" priority="2" stopIfTrue="1">
      <formula>AND(ISNUMBER(SEARCH("call", B21)), J21="expired")</formula>
    </cfRule>
    <cfRule type="expression" dxfId="142" priority="3" stopIfTrue="1">
      <formula>AND(ISNUMBER(SEARCH("call", B21)), J21="assigned")</formula>
    </cfRule>
    <cfRule type="expression" dxfId="141" priority="4" stopIfTrue="1">
      <formula>J21="assigned"</formula>
    </cfRule>
    <cfRule type="expression" dxfId="140" priority="5">
      <formula>J21="expired"</formula>
    </cfRule>
  </conditionalFormatting>
  <pageMargins left="0.7" right="0.7" top="0.75" bottom="0.75" header="0.3" footer="0.3"/>
  <pageSetup paperSize="0" orientation="portrait" r:id="rId1"/>
</worksheet>
</file>

<file path=xl/worksheets/sheet4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3BC6-C2C6-3B45-928F-054BA0C0A7A2}">
  <sheetPr codeName="Sheet19"/>
  <dimension ref="B1:K75"/>
  <sheetViews>
    <sheetView zoomScale="120" zoomScaleNormal="120" workbookViewId="0">
      <selection activeCell="E20" sqref="E20:F20"/>
    </sheetView>
  </sheetViews>
  <sheetFormatPr baseColWidth="10" defaultColWidth="8.83203125" defaultRowHeight="15" x14ac:dyDescent="0.2"/>
  <cols>
    <col min="1" max="1" width="6" customWidth="1"/>
    <col min="2" max="2" width="36.6640625" customWidth="1"/>
    <col min="3" max="3" width="16.33203125" style="55" customWidth="1"/>
    <col min="4" max="4" width="12.83203125" style="45" customWidth="1"/>
    <col min="5" max="5" width="10.83203125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</cols>
  <sheetData>
    <row r="1" spans="2:11" ht="20" x14ac:dyDescent="0.2">
      <c r="B1" s="197" t="s">
        <v>119</v>
      </c>
      <c r="C1" s="197"/>
    </row>
    <row r="2" spans="2:11" x14ac:dyDescent="0.2">
      <c r="B2" s="1"/>
      <c r="C2" s="56"/>
      <c r="D2" s="9"/>
      <c r="E2" s="2"/>
      <c r="F2" s="3"/>
      <c r="G2" s="4"/>
    </row>
    <row r="3" spans="2:11" ht="19" x14ac:dyDescent="0.25">
      <c r="B3" s="5"/>
      <c r="C3" s="57"/>
      <c r="D3" s="131"/>
      <c r="E3" s="6"/>
      <c r="F3" s="7" t="s">
        <v>0</v>
      </c>
      <c r="G3" s="8">
        <f>IF(ISERROR(SUM(G34,G73)/G4),SUM(G34,G73),SUM(G34,G73)/G4)</f>
        <v>-1266</v>
      </c>
      <c r="I3" t="s">
        <v>279</v>
      </c>
      <c r="J3" s="30"/>
      <c r="K3" s="6"/>
    </row>
    <row r="4" spans="2:11" x14ac:dyDescent="0.2">
      <c r="B4" s="1"/>
      <c r="C4" s="56"/>
      <c r="D4" s="9"/>
      <c r="E4" s="2"/>
      <c r="F4" s="3" t="s">
        <v>2</v>
      </c>
      <c r="G4" s="9">
        <f>E75</f>
        <v>0</v>
      </c>
    </row>
    <row r="5" spans="2:11" x14ac:dyDescent="0.2">
      <c r="C5" s="56"/>
      <c r="D5" s="9"/>
      <c r="E5" s="2"/>
      <c r="F5" s="3"/>
      <c r="G5" s="4"/>
    </row>
    <row r="6" spans="2:11" x14ac:dyDescent="0.2">
      <c r="B6" s="15"/>
      <c r="C6" s="58"/>
      <c r="D6" s="53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15"/>
      <c r="C7" s="58"/>
      <c r="D7" s="53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x14ac:dyDescent="0.2">
      <c r="B9" s="12" t="s">
        <v>11</v>
      </c>
      <c r="C9" s="59" t="s">
        <v>6</v>
      </c>
      <c r="D9" s="132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12"/>
      <c r="C10" s="59"/>
      <c r="D10" s="132"/>
      <c r="E10" s="11"/>
      <c r="F10" s="13"/>
      <c r="G10" s="14"/>
      <c r="H10" s="11"/>
      <c r="I10" s="11"/>
      <c r="J10" s="33"/>
      <c r="K10" s="11"/>
    </row>
    <row r="11" spans="2:11" x14ac:dyDescent="0.2">
      <c r="B11" s="15" t="s">
        <v>130</v>
      </c>
      <c r="C11" s="58" t="d">
        <v>2024-11-11</v>
      </c>
      <c r="D11" s="53"/>
      <c r="E11" s="17">
        <v>100</v>
      </c>
      <c r="F11" s="21">
        <v>29.5</v>
      </c>
      <c r="G11" s="44">
        <f>E11*F11</f>
        <v>2950</v>
      </c>
      <c r="H11" s="20"/>
      <c r="I11" s="36">
        <f>G11</f>
        <v>2950</v>
      </c>
      <c r="J11" s="31"/>
      <c r="K11" s="36">
        <f>I11/E11</f>
        <v>29.5</v>
      </c>
    </row>
    <row r="12" spans="2:11" x14ac:dyDescent="0.2">
      <c r="B12" s="15" t="s">
        <v>169</v>
      </c>
      <c r="C12" s="58" t="d">
        <v>2024-12-02</v>
      </c>
      <c r="D12" s="53"/>
      <c r="E12" s="17">
        <v>100</v>
      </c>
      <c r="F12" s="21">
        <v>28</v>
      </c>
      <c r="G12" s="44">
        <f>E12*F12</f>
        <v>2800</v>
      </c>
      <c r="H12" s="20"/>
      <c r="I12" s="36">
        <f>I11+G12</f>
        <v>5750</v>
      </c>
      <c r="J12" s="31"/>
      <c r="K12" s="36">
        <f>I12/SUM($E$11:E12)</f>
        <v>28.75</v>
      </c>
    </row>
    <row r="13" spans="2:11" x14ac:dyDescent="0.2">
      <c r="B13" s="15" t="s">
        <v>194</v>
      </c>
      <c r="C13" s="58" t="d">
        <v>2024-12-11</v>
      </c>
      <c r="D13" s="53"/>
      <c r="E13" s="17">
        <v>-200</v>
      </c>
      <c r="F13" s="21">
        <v>28.5</v>
      </c>
      <c r="G13" s="44">
        <f t="shared" ref="G13:G33" si="0">E13*F13</f>
        <v>-5700</v>
      </c>
      <c r="H13" s="20"/>
      <c r="I13" s="36">
        <f>I12+G13</f>
        <v>50</v>
      </c>
      <c r="J13" s="31"/>
      <c r="K13" s="36" t="e">
        <f>I13/SUM($E$11:E13)</f>
        <v>#DIV/0!</v>
      </c>
    </row>
    <row r="14" spans="2:11" x14ac:dyDescent="0.2">
      <c r="B14" s="15" t="s">
        <v>214</v>
      </c>
      <c r="C14" s="58" t="d">
        <v>2024-12-21</v>
      </c>
      <c r="D14" s="53"/>
      <c r="E14" s="17">
        <v>400</v>
      </c>
      <c r="F14" s="21">
        <v>27</v>
      </c>
      <c r="G14" s="44">
        <f t="shared" si="0"/>
        <v>10800</v>
      </c>
      <c r="H14" s="20"/>
      <c r="I14" s="36">
        <f t="shared" ref="I14:I32" si="1">I13+G14</f>
        <v>10850</v>
      </c>
      <c r="J14" s="31"/>
      <c r="K14" s="36">
        <f>I14/SUM($E$11:E14)</f>
        <v>27.125</v>
      </c>
    </row>
    <row r="15" spans="2:11" x14ac:dyDescent="0.2">
      <c r="B15" s="15" t="s">
        <v>232</v>
      </c>
      <c r="C15" s="58" t="d">
        <v>2025-01-11</v>
      </c>
      <c r="D15" s="53"/>
      <c r="E15" s="17">
        <v>-400</v>
      </c>
      <c r="F15" s="21">
        <v>27.5</v>
      </c>
      <c r="G15" s="44">
        <f t="shared" si="0"/>
        <v>-11000</v>
      </c>
      <c r="H15" s="20"/>
      <c r="I15" s="36">
        <f t="shared" si="1"/>
        <v>-150</v>
      </c>
      <c r="J15" s="31"/>
      <c r="K15" s="36" t="e">
        <f>I15/SUM($E$11:E15)</f>
        <v>#DIV/0!</v>
      </c>
    </row>
    <row r="16" spans="2:11" x14ac:dyDescent="0.2">
      <c r="B16" s="15" t="s">
        <v>406</v>
      </c>
      <c r="C16" s="58" t="d">
        <v>2025-02-28</v>
      </c>
      <c r="D16" s="53"/>
      <c r="E16" s="17">
        <v>400</v>
      </c>
      <c r="F16" s="21">
        <v>28.5</v>
      </c>
      <c r="G16" s="44">
        <f t="shared" si="0"/>
        <v>11400</v>
      </c>
      <c r="H16" s="20"/>
      <c r="I16" s="36">
        <f t="shared" si="1"/>
        <v>11250</v>
      </c>
      <c r="J16" s="31"/>
      <c r="K16" s="36">
        <f>I16/SUM($E$11:E16)</f>
        <v>28.125</v>
      </c>
    </row>
    <row r="17" spans="2:11" x14ac:dyDescent="0.2">
      <c r="B17" s="15" t="s">
        <v>307</v>
      </c>
      <c r="C17" s="58" t="d">
        <v>2025-03-07</v>
      </c>
      <c r="D17" s="53"/>
      <c r="E17" s="17">
        <v>-400</v>
      </c>
      <c r="F17" s="21">
        <v>28.5</v>
      </c>
      <c r="G17" s="44">
        <f t="shared" si="0"/>
        <v>-11400</v>
      </c>
      <c r="H17" s="20"/>
      <c r="I17" s="36">
        <f t="shared" si="1"/>
        <v>-150</v>
      </c>
      <c r="J17" s="31"/>
      <c r="K17" s="36" t="e">
        <f>I17/SUM($E$11:E17)</f>
        <v>#DIV/0!</v>
      </c>
    </row>
    <row r="18" spans="2:11" x14ac:dyDescent="0.2">
      <c r="B18" s="15" t="s">
        <v>328</v>
      </c>
      <c r="C18" s="58" t="d">
        <v>2025-04-04</v>
      </c>
      <c r="D18" s="53"/>
      <c r="E18" s="17">
        <v>100</v>
      </c>
      <c r="F18" s="21">
        <v>30.5</v>
      </c>
      <c r="G18" s="44">
        <f t="shared" si="0"/>
        <v>3050</v>
      </c>
      <c r="H18" s="20"/>
      <c r="I18" s="36">
        <f t="shared" si="1"/>
        <v>2900</v>
      </c>
      <c r="J18" s="31"/>
      <c r="K18" s="36">
        <f>I18/SUM($E$11:E18)</f>
        <v>29</v>
      </c>
    </row>
    <row r="19" spans="2:11" x14ac:dyDescent="0.2">
      <c r="B19" s="15" t="s">
        <v>400</v>
      </c>
      <c r="C19" s="58" t="d">
        <v>2025-04-19</v>
      </c>
      <c r="D19" s="53"/>
      <c r="E19" s="17">
        <v>-100</v>
      </c>
      <c r="F19" s="21">
        <v>27.5</v>
      </c>
      <c r="G19" s="44">
        <f t="shared" si="0"/>
        <v>-2750</v>
      </c>
      <c r="H19" s="20"/>
      <c r="I19" s="36">
        <f t="shared" si="1"/>
        <v>150</v>
      </c>
      <c r="J19" s="31"/>
      <c r="K19" s="36" t="e">
        <f>I19/SUM($E$11:E19)</f>
        <v>#DIV/0!</v>
      </c>
    </row>
    <row r="20" spans="2:11" x14ac:dyDescent="0.2">
      <c r="B20" s="15"/>
      <c r="C20" s="58"/>
      <c r="D20" s="53"/>
      <c r="E20" s="17"/>
      <c r="F20" s="21"/>
      <c r="G20" s="44">
        <f t="shared" si="0"/>
        <v>0</v>
      </c>
      <c r="H20" s="20"/>
      <c r="I20" s="36">
        <f t="shared" si="1"/>
        <v>150</v>
      </c>
      <c r="J20" s="31"/>
      <c r="K20" s="36" t="e">
        <f>I20/SUM($E$11:E20)</f>
        <v>#DIV/0!</v>
      </c>
    </row>
    <row r="21" spans="2:11" x14ac:dyDescent="0.2">
      <c r="B21" s="15"/>
      <c r="C21" s="58"/>
      <c r="D21" s="53"/>
      <c r="E21" s="17"/>
      <c r="F21" s="21"/>
      <c r="G21" s="44">
        <f t="shared" si="0"/>
        <v>0</v>
      </c>
      <c r="H21" s="20"/>
      <c r="I21" s="36">
        <f t="shared" si="1"/>
        <v>150</v>
      </c>
      <c r="J21" s="31"/>
      <c r="K21" s="36" t="e">
        <f>I21/SUM($E$11:E21)</f>
        <v>#DIV/0!</v>
      </c>
    </row>
    <row r="22" spans="2:11" x14ac:dyDescent="0.2">
      <c r="B22" s="15"/>
      <c r="C22" s="58"/>
      <c r="D22" s="53"/>
      <c r="E22" s="17"/>
      <c r="F22" s="21"/>
      <c r="G22" s="44">
        <f t="shared" si="0"/>
        <v>0</v>
      </c>
      <c r="H22" s="20"/>
      <c r="I22" s="36">
        <f t="shared" si="1"/>
        <v>150</v>
      </c>
      <c r="J22" s="31"/>
      <c r="K22" s="36" t="e">
        <f>I22/SUM($E$11:E22)</f>
        <v>#DIV/0!</v>
      </c>
    </row>
    <row r="23" spans="2:11" x14ac:dyDescent="0.2">
      <c r="B23" s="15"/>
      <c r="C23" s="58"/>
      <c r="D23" s="53"/>
      <c r="E23" s="17"/>
      <c r="F23" s="21"/>
      <c r="G23" s="44">
        <f t="shared" si="0"/>
        <v>0</v>
      </c>
      <c r="H23" s="20"/>
      <c r="I23" s="36">
        <f t="shared" si="1"/>
        <v>150</v>
      </c>
      <c r="J23" s="31"/>
      <c r="K23" s="36" t="e">
        <f>I23/SUM($E$11:E23)</f>
        <v>#DIV/0!</v>
      </c>
    </row>
    <row r="24" spans="2:11" x14ac:dyDescent="0.2">
      <c r="B24" s="15"/>
      <c r="C24" s="58"/>
      <c r="D24" s="53"/>
      <c r="E24" s="17"/>
      <c r="F24" s="21"/>
      <c r="G24" s="44">
        <f t="shared" si="0"/>
        <v>0</v>
      </c>
      <c r="H24" s="20"/>
      <c r="I24" s="36">
        <f t="shared" si="1"/>
        <v>150</v>
      </c>
      <c r="J24" s="31"/>
      <c r="K24" s="36" t="e">
        <f>I24/SUM($E$11:E24)</f>
        <v>#DIV/0!</v>
      </c>
    </row>
    <row r="25" spans="2:11" x14ac:dyDescent="0.2">
      <c r="B25" s="15"/>
      <c r="C25" s="58"/>
      <c r="D25" s="53"/>
      <c r="E25" s="17"/>
      <c r="F25" s="21"/>
      <c r="G25" s="44">
        <f t="shared" si="0"/>
        <v>0</v>
      </c>
      <c r="H25" s="20"/>
      <c r="I25" s="36">
        <f t="shared" si="1"/>
        <v>150</v>
      </c>
      <c r="J25" s="31"/>
      <c r="K25" s="36" t="e">
        <f>I25/SUM($E$11:E25)</f>
        <v>#DIV/0!</v>
      </c>
    </row>
    <row r="26" spans="2:11" x14ac:dyDescent="0.2">
      <c r="B26" s="15"/>
      <c r="C26" s="58"/>
      <c r="D26" s="53"/>
      <c r="E26" s="17"/>
      <c r="F26" s="21"/>
      <c r="G26" s="44">
        <f t="shared" si="0"/>
        <v>0</v>
      </c>
      <c r="H26" s="20"/>
      <c r="I26" s="36">
        <f t="shared" si="1"/>
        <v>150</v>
      </c>
      <c r="J26" s="31"/>
      <c r="K26" s="36" t="e">
        <f>I26/SUM($E$11:E26)</f>
        <v>#DIV/0!</v>
      </c>
    </row>
    <row r="27" spans="2:11" x14ac:dyDescent="0.2">
      <c r="B27" s="15"/>
      <c r="C27" s="58"/>
      <c r="D27" s="53"/>
      <c r="E27" s="17"/>
      <c r="F27" s="21"/>
      <c r="G27" s="44">
        <f t="shared" si="0"/>
        <v>0</v>
      </c>
      <c r="H27" s="20"/>
      <c r="I27" s="36">
        <f t="shared" si="1"/>
        <v>150</v>
      </c>
      <c r="J27" s="31"/>
      <c r="K27" s="36" t="e">
        <f>I27/SUM($E$11:E27)</f>
        <v>#DIV/0!</v>
      </c>
    </row>
    <row r="28" spans="2:11" x14ac:dyDescent="0.2">
      <c r="B28" s="15"/>
      <c r="C28" s="58"/>
      <c r="D28" s="53"/>
      <c r="E28" s="17"/>
      <c r="F28" s="21"/>
      <c r="G28" s="44">
        <f t="shared" si="0"/>
        <v>0</v>
      </c>
      <c r="H28" s="20"/>
      <c r="I28" s="36">
        <f t="shared" si="1"/>
        <v>150</v>
      </c>
      <c r="J28" s="31"/>
      <c r="K28" s="36" t="e">
        <f>I28/SUM($E$11:E28)</f>
        <v>#DIV/0!</v>
      </c>
    </row>
    <row r="29" spans="2:11" x14ac:dyDescent="0.2">
      <c r="B29" s="15"/>
      <c r="C29" s="58"/>
      <c r="D29" s="53"/>
      <c r="E29" s="17"/>
      <c r="F29" s="21"/>
      <c r="G29" s="44">
        <f t="shared" si="0"/>
        <v>0</v>
      </c>
      <c r="H29" s="20"/>
      <c r="I29" s="36">
        <f t="shared" si="1"/>
        <v>150</v>
      </c>
      <c r="J29" s="31"/>
      <c r="K29" s="36" t="e">
        <f>I29/SUM($E$11:E29)</f>
        <v>#DIV/0!</v>
      </c>
    </row>
    <row r="30" spans="2:11" x14ac:dyDescent="0.2">
      <c r="B30" s="15"/>
      <c r="C30" s="58"/>
      <c r="D30" s="53"/>
      <c r="E30" s="17"/>
      <c r="F30" s="21"/>
      <c r="G30" s="44">
        <f t="shared" si="0"/>
        <v>0</v>
      </c>
      <c r="H30" s="20"/>
      <c r="I30" s="36">
        <f t="shared" si="1"/>
        <v>150</v>
      </c>
      <c r="J30" s="31"/>
      <c r="K30" s="36" t="e">
        <f>I30/SUM($E$11:E30)</f>
        <v>#DIV/0!</v>
      </c>
    </row>
    <row r="31" spans="2:11" x14ac:dyDescent="0.2">
      <c r="B31" s="15"/>
      <c r="C31" s="58"/>
      <c r="D31" s="53"/>
      <c r="E31" s="17"/>
      <c r="F31" s="21"/>
      <c r="G31" s="44">
        <f t="shared" si="0"/>
        <v>0</v>
      </c>
      <c r="H31" s="20"/>
      <c r="I31" s="36">
        <f t="shared" si="1"/>
        <v>150</v>
      </c>
      <c r="J31" s="31"/>
      <c r="K31" s="36" t="e">
        <f>I31/SUM($E$11:E31)</f>
        <v>#DIV/0!</v>
      </c>
    </row>
    <row r="32" spans="2:11" x14ac:dyDescent="0.2">
      <c r="B32" s="15"/>
      <c r="C32" s="58"/>
      <c r="D32" s="53"/>
      <c r="E32" s="17"/>
      <c r="F32" s="21"/>
      <c r="G32" s="44">
        <f t="shared" si="0"/>
        <v>0</v>
      </c>
      <c r="H32" s="20"/>
      <c r="I32" s="36">
        <f t="shared" si="1"/>
        <v>150</v>
      </c>
      <c r="J32" s="31"/>
      <c r="K32" s="36" t="e">
        <f>I32/SUM($E$11:E32)</f>
        <v>#DIV/0!</v>
      </c>
    </row>
    <row r="33" spans="2:11" x14ac:dyDescent="0.2">
      <c r="B33" s="15"/>
      <c r="C33" s="58"/>
      <c r="D33" s="53"/>
      <c r="E33" s="17"/>
      <c r="F33" s="21"/>
      <c r="G33" s="44">
        <f t="shared" si="0"/>
        <v>0</v>
      </c>
      <c r="H33" s="20"/>
      <c r="I33" s="36">
        <f>I20+G33</f>
        <v>150</v>
      </c>
      <c r="J33" s="31"/>
      <c r="K33" s="36" t="e">
        <f>I33/SUM($E$11:E33)</f>
        <v>#DIV/0!</v>
      </c>
    </row>
    <row r="34" spans="2:11" ht="19" x14ac:dyDescent="0.25">
      <c r="B34" s="15"/>
      <c r="C34" s="58"/>
      <c r="D34" s="53"/>
      <c r="E34" s="17"/>
      <c r="F34" s="18"/>
      <c r="G34" s="137">
        <f>SUM(G11:G33)</f>
        <v>150</v>
      </c>
      <c r="H34" s="20"/>
      <c r="I34" s="19"/>
      <c r="J34" s="31"/>
      <c r="K34" s="22" t="e">
        <f>SUM(G11:G34)/SUM(E11:E34)</f>
        <v>#DIV/0!</v>
      </c>
    </row>
    <row r="35" spans="2:11" ht="18" customHeight="1" x14ac:dyDescent="0.2">
      <c r="B35" s="15"/>
      <c r="C35" s="58"/>
      <c r="D35" s="53"/>
      <c r="E35" s="17"/>
      <c r="F35" s="18"/>
      <c r="G35" s="19"/>
      <c r="H35" s="20"/>
      <c r="I35" s="20"/>
      <c r="J35" s="31"/>
      <c r="K35" s="17"/>
    </row>
    <row r="36" spans="2:11" ht="1" customHeight="1" x14ac:dyDescent="0.2">
      <c r="B36" s="15"/>
      <c r="C36" s="58"/>
      <c r="D36" s="53"/>
      <c r="E36" s="17"/>
      <c r="F36" s="18"/>
      <c r="G36" s="19"/>
      <c r="H36" s="20"/>
      <c r="I36" s="20"/>
      <c r="J36" s="31"/>
      <c r="K36" s="17"/>
    </row>
    <row r="37" spans="2:11" ht="16" x14ac:dyDescent="0.2">
      <c r="B37" s="39" t="s">
        <v>131</v>
      </c>
      <c r="C37" s="58" t="d">
        <v>2024-10-30</v>
      </c>
      <c r="D37" s="53"/>
      <c r="E37" s="17"/>
      <c r="F37" s="21">
        <v>31</v>
      </c>
      <c r="G37" s="36">
        <v>-34</v>
      </c>
      <c r="H37" s="20"/>
      <c r="I37" s="36">
        <f>I13+G37</f>
        <v>16</v>
      </c>
      <c r="J37" s="31" t="s">
        <v>122</v>
      </c>
      <c r="K37" s="36" t="e">
        <f>I37/SUM($E$11:E37)</f>
        <v>#DIV/0!</v>
      </c>
    </row>
    <row r="38" spans="2:11" ht="18" customHeight="1" x14ac:dyDescent="0.2">
      <c r="B38" s="39" t="s">
        <v>152</v>
      </c>
      <c r="C38" s="58" t="d">
        <v>2024-11-18</v>
      </c>
      <c r="D38" s="53"/>
      <c r="E38" s="17"/>
      <c r="F38" s="21">
        <v>28.48</v>
      </c>
      <c r="G38" s="36">
        <v>-26</v>
      </c>
      <c r="H38" s="20"/>
      <c r="I38" s="36">
        <f t="shared" ref="I38:I46" si="2">I37+G38</f>
        <v>-10</v>
      </c>
      <c r="J38" s="31" t="s">
        <v>10</v>
      </c>
      <c r="K38" s="36" t="e">
        <f>I38/SUM($E$11:E38)</f>
        <v>#DIV/0!</v>
      </c>
    </row>
    <row r="39" spans="2:11" ht="16" x14ac:dyDescent="0.2">
      <c r="B39" s="39" t="s">
        <v>158</v>
      </c>
      <c r="C39" s="58" t="d">
        <v>2024-11-25</v>
      </c>
      <c r="D39" s="53"/>
      <c r="E39" s="17"/>
      <c r="F39" s="21">
        <v>27.49</v>
      </c>
      <c r="G39" s="36">
        <v>-17</v>
      </c>
      <c r="H39" s="17"/>
      <c r="I39" s="36">
        <f t="shared" si="2"/>
        <v>-27</v>
      </c>
      <c r="J39" s="31" t="s">
        <v>122</v>
      </c>
      <c r="K39" s="36" t="e">
        <f>I39/SUM($E$11:E39)</f>
        <v>#DIV/0!</v>
      </c>
    </row>
    <row r="40" spans="2:11" ht="16" x14ac:dyDescent="0.2">
      <c r="B40" s="39" t="s">
        <v>242</v>
      </c>
      <c r="C40" s="58" t="d">
        <v>2024-11-25</v>
      </c>
      <c r="D40" s="53"/>
      <c r="E40" s="17"/>
      <c r="F40" s="21"/>
      <c r="G40" s="36">
        <f>-12*3</f>
        <v>-36</v>
      </c>
      <c r="H40" s="17"/>
      <c r="I40" s="36">
        <f t="shared" si="2"/>
        <v>-63</v>
      </c>
      <c r="J40" s="31" t="s">
        <v>10</v>
      </c>
      <c r="K40" s="36" t="e">
        <f>I40/SUM($E$11:E40)</f>
        <v>#DIV/0!</v>
      </c>
    </row>
    <row r="41" spans="2:11" ht="16" x14ac:dyDescent="0.2">
      <c r="B41" s="39" t="s">
        <v>193</v>
      </c>
      <c r="C41" s="58" t="d">
        <v>2024-12-02</v>
      </c>
      <c r="D41" s="53"/>
      <c r="E41" s="17"/>
      <c r="F41" s="21">
        <v>27.86</v>
      </c>
      <c r="G41" s="36">
        <f>-23*2</f>
        <v>-46</v>
      </c>
      <c r="H41" s="17"/>
      <c r="I41" s="36">
        <f t="shared" si="2"/>
        <v>-109</v>
      </c>
      <c r="J41" s="31" t="s">
        <v>122</v>
      </c>
      <c r="K41" s="36" t="e">
        <f>I41/SUM($E$11:E41)</f>
        <v>#DIV/0!</v>
      </c>
    </row>
    <row r="42" spans="2:11" ht="16" x14ac:dyDescent="0.2">
      <c r="B42" s="39" t="s">
        <v>170</v>
      </c>
      <c r="C42" s="58" t="d">
        <v>2024-12-02</v>
      </c>
      <c r="D42" s="53"/>
      <c r="E42" s="17"/>
      <c r="F42" s="21">
        <v>27.86</v>
      </c>
      <c r="G42" s="36">
        <f>-14*6</f>
        <v>-84</v>
      </c>
      <c r="H42" s="17"/>
      <c r="I42" s="36">
        <f t="shared" si="2"/>
        <v>-193</v>
      </c>
      <c r="J42" s="31" t="s">
        <v>10</v>
      </c>
      <c r="K42" s="36" t="e">
        <f>I42/SUM($E$11:E42)</f>
        <v>#DIV/0!</v>
      </c>
    </row>
    <row r="43" spans="2:11" ht="16" x14ac:dyDescent="0.2">
      <c r="B43" s="39" t="s">
        <v>195</v>
      </c>
      <c r="C43" s="58" t="d">
        <v>2024-12-13</v>
      </c>
      <c r="D43" s="53"/>
      <c r="E43" s="17"/>
      <c r="F43" s="21"/>
      <c r="G43" s="36">
        <f>-12*4</f>
        <v>-48</v>
      </c>
      <c r="H43" s="17"/>
      <c r="I43" s="36">
        <f t="shared" si="2"/>
        <v>-241</v>
      </c>
      <c r="J43" s="31" t="s">
        <v>122</v>
      </c>
      <c r="K43" s="36" t="e">
        <f>I43/SUM($E$11:E43)</f>
        <v>#DIV/0!</v>
      </c>
    </row>
    <row r="44" spans="2:11" ht="16" customHeight="1" x14ac:dyDescent="0.2">
      <c r="B44" s="39" t="s">
        <v>243</v>
      </c>
      <c r="C44" s="58" t="d">
        <v>2025-01-06</v>
      </c>
      <c r="D44" s="53">
        <v>4</v>
      </c>
      <c r="E44" s="17"/>
      <c r="F44" s="21">
        <v>27</v>
      </c>
      <c r="G44" s="36">
        <f>-18*4</f>
        <v>-72</v>
      </c>
      <c r="H44" s="17"/>
      <c r="I44" s="36">
        <f t="shared" si="2"/>
        <v>-313</v>
      </c>
      <c r="J44" s="31" t="s">
        <v>122</v>
      </c>
      <c r="K44" s="36" t="e">
        <f>I44/SUM($E$11:E44)</f>
        <v>#DIV/0!</v>
      </c>
    </row>
    <row r="45" spans="2:11" ht="16" x14ac:dyDescent="0.2">
      <c r="B45" s="39" t="s">
        <v>244</v>
      </c>
      <c r="C45" s="58" t="d">
        <v>2025-01-27</v>
      </c>
      <c r="D45" s="53"/>
      <c r="E45" s="17"/>
      <c r="F45" s="21"/>
      <c r="G45" s="36">
        <v>-16</v>
      </c>
      <c r="H45" s="20"/>
      <c r="I45" s="36">
        <f t="shared" si="2"/>
        <v>-329</v>
      </c>
      <c r="J45" s="31" t="s">
        <v>10</v>
      </c>
      <c r="K45" s="36" t="e">
        <f>I45/SUM($E$11:E45)</f>
        <v>#DIV/0!</v>
      </c>
    </row>
    <row r="46" spans="2:11" s="70" customFormat="1" ht="16" x14ac:dyDescent="0.2">
      <c r="B46" s="39" t="s">
        <v>282</v>
      </c>
      <c r="C46" s="106" t="d">
        <v>2025-02-11</v>
      </c>
      <c r="D46" s="107"/>
      <c r="E46" s="83"/>
      <c r="F46" s="21"/>
      <c r="G46" s="36">
        <f>-8*8</f>
        <v>-64</v>
      </c>
      <c r="H46" s="69"/>
      <c r="I46" s="99">
        <f t="shared" si="2"/>
        <v>-393</v>
      </c>
      <c r="J46" s="86" t="s">
        <v>10</v>
      </c>
      <c r="K46" s="99" t="e">
        <f>I46/SUM($E$11:E46)</f>
        <v>#DIV/0!</v>
      </c>
    </row>
    <row r="47" spans="2:11" ht="16" x14ac:dyDescent="0.2">
      <c r="B47" s="39" t="s">
        <v>284</v>
      </c>
      <c r="C47" s="58" t="d">
        <v>2025-02-24</v>
      </c>
      <c r="D47" s="53"/>
      <c r="E47" s="17"/>
      <c r="F47" s="21"/>
      <c r="G47" s="36">
        <f>-4*8</f>
        <v>-32</v>
      </c>
      <c r="H47" s="20"/>
      <c r="I47" s="36">
        <f t="shared" ref="I47:I72" si="3">I46+G47</f>
        <v>-425</v>
      </c>
      <c r="J47" s="31" t="s">
        <v>122</v>
      </c>
      <c r="K47" s="36" t="e">
        <f>I47/SUM($E$11:E47)</f>
        <v>#DIV/0!</v>
      </c>
    </row>
    <row r="48" spans="2:11" ht="16" x14ac:dyDescent="0.2">
      <c r="B48" s="39" t="s">
        <v>306</v>
      </c>
      <c r="C48" s="58" t="d">
        <v>2025-03-03</v>
      </c>
      <c r="D48" s="53"/>
      <c r="E48" s="17"/>
      <c r="F48" s="21"/>
      <c r="G48" s="36">
        <f>-57*4</f>
        <v>-228</v>
      </c>
      <c r="H48" s="20"/>
      <c r="I48" s="36">
        <f t="shared" si="3"/>
        <v>-653</v>
      </c>
      <c r="J48" s="31" t="s">
        <v>122</v>
      </c>
      <c r="K48" s="36" t="e">
        <f>I48/SUM($E$11:E48)</f>
        <v>#DIV/0!</v>
      </c>
    </row>
    <row r="49" spans="2:11" ht="21" customHeight="1" x14ac:dyDescent="0.2">
      <c r="B49" s="39" t="s">
        <v>326</v>
      </c>
      <c r="C49" s="58" t="d">
        <v>2025-03-24</v>
      </c>
      <c r="D49" s="53"/>
      <c r="E49" s="17"/>
      <c r="F49" s="21"/>
      <c r="G49" s="36">
        <f>-13*2</f>
        <v>-26</v>
      </c>
      <c r="H49" s="20"/>
      <c r="I49" s="36">
        <f t="shared" si="3"/>
        <v>-679</v>
      </c>
      <c r="J49" s="31" t="s">
        <v>10</v>
      </c>
      <c r="K49" s="36" t="e">
        <f>I49/SUM($E$11:E49)</f>
        <v>#DIV/0!</v>
      </c>
    </row>
    <row r="50" spans="2:11" ht="16" x14ac:dyDescent="0.2">
      <c r="B50" s="39" t="s">
        <v>330</v>
      </c>
      <c r="C50" s="58" t="d">
        <v>2025-03-26</v>
      </c>
      <c r="D50" s="53"/>
      <c r="E50" s="17"/>
      <c r="F50" s="21"/>
      <c r="G50" s="36">
        <v>-42</v>
      </c>
      <c r="H50" s="20"/>
      <c r="I50" s="36">
        <f t="shared" si="3"/>
        <v>-721</v>
      </c>
      <c r="J50" s="31" t="s">
        <v>122</v>
      </c>
      <c r="K50" s="36" t="e">
        <f>I50/SUM($E$11:E50)</f>
        <v>#DIV/0!</v>
      </c>
    </row>
    <row r="51" spans="2:11" ht="18" customHeight="1" x14ac:dyDescent="0.2">
      <c r="B51" s="39" t="s">
        <v>331</v>
      </c>
      <c r="C51" s="58" t="d">
        <v>2025-04-07</v>
      </c>
      <c r="D51" s="53"/>
      <c r="E51" s="17"/>
      <c r="F51" s="21"/>
      <c r="G51" s="36">
        <v>-74</v>
      </c>
      <c r="H51" s="20"/>
      <c r="I51" s="36">
        <f t="shared" si="3"/>
        <v>-795</v>
      </c>
      <c r="J51" s="31" t="s">
        <v>122</v>
      </c>
      <c r="K51" s="36" t="e">
        <f>I51/SUM($E$11:E51)</f>
        <v>#DIV/0!</v>
      </c>
    </row>
    <row r="52" spans="2:11" ht="16" x14ac:dyDescent="0.2">
      <c r="B52" s="39" t="s">
        <v>349</v>
      </c>
      <c r="C52" s="58" t="d">
        <v>2025-04-17</v>
      </c>
      <c r="D52" s="53"/>
      <c r="E52" s="17"/>
      <c r="F52" s="21"/>
      <c r="G52" s="36">
        <f>-17*2</f>
        <v>-34</v>
      </c>
      <c r="H52" s="20"/>
      <c r="I52" s="36">
        <f t="shared" si="3"/>
        <v>-829</v>
      </c>
      <c r="J52" s="31" t="s">
        <v>10</v>
      </c>
      <c r="K52" s="36" t="e">
        <f>I52/SUM($E$11:E52)</f>
        <v>#DIV/0!</v>
      </c>
    </row>
    <row r="53" spans="2:11" ht="16" x14ac:dyDescent="0.2">
      <c r="B53" s="39" t="s">
        <v>375</v>
      </c>
      <c r="C53" s="58" t="d">
        <v>2025-04-22</v>
      </c>
      <c r="D53" s="53"/>
      <c r="E53" s="17"/>
      <c r="F53" s="21"/>
      <c r="G53" s="36">
        <v>-19</v>
      </c>
      <c r="H53" s="20"/>
      <c r="I53" s="36">
        <f t="shared" si="3"/>
        <v>-848</v>
      </c>
      <c r="J53" s="31" t="s">
        <v>10</v>
      </c>
      <c r="K53" s="36" t="e">
        <f>I53/SUM($E$11:E53)</f>
        <v>#DIV/0!</v>
      </c>
    </row>
    <row r="54" spans="2:11" ht="16" x14ac:dyDescent="0.2">
      <c r="B54" s="39" t="s">
        <v>431</v>
      </c>
      <c r="C54" s="58" t="d">
        <v>2025-04-30</v>
      </c>
      <c r="D54" s="53"/>
      <c r="E54" s="17"/>
      <c r="F54" s="21"/>
      <c r="G54" s="36">
        <f>-16*5</f>
        <v>-80</v>
      </c>
      <c r="H54" s="20"/>
      <c r="I54" s="36">
        <f t="shared" si="3"/>
        <v>-928</v>
      </c>
      <c r="J54" s="31" t="s">
        <v>10</v>
      </c>
      <c r="K54" s="36" t="e">
        <f>I54/SUM($E$11:E54)</f>
        <v>#DIV/0!</v>
      </c>
    </row>
    <row r="55" spans="2:11" ht="16" x14ac:dyDescent="0.2">
      <c r="B55" s="39" t="s">
        <v>599</v>
      </c>
      <c r="C55" s="58" t="d">
        <v>2025-05-13</v>
      </c>
      <c r="D55" s="53"/>
      <c r="E55" s="17"/>
      <c r="F55" s="21"/>
      <c r="G55" s="36">
        <f>-2*18</f>
        <v>-36</v>
      </c>
      <c r="H55" s="20"/>
      <c r="I55" s="36">
        <f t="shared" si="3"/>
        <v>-964</v>
      </c>
      <c r="J55" s="31" t="s">
        <v>10</v>
      </c>
      <c r="K55" s="36" t="e">
        <f>I55/SUM($E$11:E55)</f>
        <v>#DIV/0!</v>
      </c>
    </row>
    <row r="56" spans="2:11" ht="16" x14ac:dyDescent="0.2">
      <c r="B56" s="39" t="s">
        <v>600</v>
      </c>
      <c r="C56" s="58" t="d">
        <v>2025-06-03</v>
      </c>
      <c r="D56" s="53"/>
      <c r="E56" s="17"/>
      <c r="F56" s="21"/>
      <c r="G56" s="36">
        <f>-5*24</f>
        <v>-120</v>
      </c>
      <c r="H56" s="20"/>
      <c r="I56" s="36">
        <f t="shared" si="3"/>
        <v>-1084</v>
      </c>
      <c r="J56" s="31" t="s">
        <v>10</v>
      </c>
      <c r="K56" s="36" t="e">
        <f>I56/SUM($E$11:E56)</f>
        <v>#DIV/0!</v>
      </c>
    </row>
    <row r="57" spans="2:11" ht="16" x14ac:dyDescent="0.2">
      <c r="B57" s="39" t="s">
        <v>601</v>
      </c>
      <c r="C57" s="58" t="d">
        <v>2025-06-25</v>
      </c>
      <c r="D57" s="53"/>
      <c r="E57" s="17"/>
      <c r="F57" s="21"/>
      <c r="G57" s="36">
        <f>-4*20</f>
        <v>-80</v>
      </c>
      <c r="H57" s="20"/>
      <c r="I57" s="36">
        <f t="shared" si="3"/>
        <v>-1164</v>
      </c>
      <c r="J57" s="31" t="s">
        <v>10</v>
      </c>
      <c r="K57" s="36" t="e">
        <f>I57/SUM($E$11:E57)</f>
        <v>#DIV/0!</v>
      </c>
    </row>
    <row r="58" spans="2:11" ht="16" x14ac:dyDescent="0.2">
      <c r="B58" s="39" t="s">
        <v>602</v>
      </c>
      <c r="C58" s="58" t="d">
        <v>2025-10-08</v>
      </c>
      <c r="D58" s="53"/>
      <c r="E58" s="17"/>
      <c r="F58" s="21"/>
      <c r="G58" s="36">
        <f>-2*101</f>
        <v>-202</v>
      </c>
      <c r="H58" s="20"/>
      <c r="I58" s="36">
        <f t="shared" si="3"/>
        <v>-1366</v>
      </c>
      <c r="J58" s="31"/>
      <c r="K58" s="36" t="e">
        <f>I58/SUM($E$11:E58)</f>
        <v>#DIV/0!</v>
      </c>
    </row>
    <row r="59" spans="2:11" x14ac:dyDescent="0.2">
      <c r="B59" s="39"/>
      <c r="C59" s="58"/>
      <c r="D59" s="53"/>
      <c r="E59" s="17"/>
      <c r="F59" s="21"/>
      <c r="G59" s="36">
        <v>0</v>
      </c>
      <c r="H59" s="20"/>
      <c r="I59" s="36">
        <f t="shared" si="3"/>
        <v>-1366</v>
      </c>
      <c r="J59" s="31"/>
      <c r="K59" s="36" t="e">
        <f>I59/SUM($E$11:E59)</f>
        <v>#DIV/0!</v>
      </c>
    </row>
    <row r="60" spans="2:11" x14ac:dyDescent="0.2">
      <c r="B60" s="39"/>
      <c r="C60" s="58"/>
      <c r="D60" s="53"/>
      <c r="E60" s="17"/>
      <c r="F60" s="21"/>
      <c r="G60" s="36">
        <v>0</v>
      </c>
      <c r="H60" s="20"/>
      <c r="I60" s="36">
        <f t="shared" si="3"/>
        <v>-1366</v>
      </c>
      <c r="J60" s="31"/>
      <c r="K60" s="36" t="e">
        <f>I60/SUM($E$11:E60)</f>
        <v>#DIV/0!</v>
      </c>
    </row>
    <row r="61" spans="2:11" x14ac:dyDescent="0.2">
      <c r="B61" s="39"/>
      <c r="C61" s="58"/>
      <c r="D61" s="53"/>
      <c r="E61" s="17"/>
      <c r="F61" s="21"/>
      <c r="G61" s="36">
        <v>0</v>
      </c>
      <c r="H61" s="20"/>
      <c r="I61" s="36">
        <f t="shared" si="3"/>
        <v>-1366</v>
      </c>
      <c r="J61" s="31"/>
      <c r="K61" s="36" t="e">
        <f>I61/SUM($E$11:E61)</f>
        <v>#DIV/0!</v>
      </c>
    </row>
    <row r="62" spans="2:11" x14ac:dyDescent="0.2">
      <c r="B62" s="39"/>
      <c r="C62" s="58"/>
      <c r="D62" s="53"/>
      <c r="E62" s="17"/>
      <c r="F62" s="21"/>
      <c r="G62" s="36">
        <v>0</v>
      </c>
      <c r="H62" s="20"/>
      <c r="I62" s="36">
        <f t="shared" si="3"/>
        <v>-1366</v>
      </c>
      <c r="J62" s="31"/>
      <c r="K62" s="36" t="e">
        <f>I62/SUM($E$11:E62)</f>
        <v>#DIV/0!</v>
      </c>
    </row>
    <row r="63" spans="2:11" x14ac:dyDescent="0.2">
      <c r="B63" s="39"/>
      <c r="C63" s="58"/>
      <c r="D63" s="53"/>
      <c r="E63" s="17"/>
      <c r="F63" s="21"/>
      <c r="G63" s="36">
        <v>0</v>
      </c>
      <c r="H63" s="20"/>
      <c r="I63" s="36">
        <f t="shared" si="3"/>
        <v>-1366</v>
      </c>
      <c r="J63" s="31"/>
      <c r="K63" s="36" t="e">
        <f>I63/SUM($E$11:E63)</f>
        <v>#DIV/0!</v>
      </c>
    </row>
    <row r="64" spans="2:11" x14ac:dyDescent="0.2">
      <c r="B64" s="39"/>
      <c r="C64" s="58"/>
      <c r="D64" s="53"/>
      <c r="E64" s="17"/>
      <c r="F64" s="21"/>
      <c r="G64" s="36">
        <v>0</v>
      </c>
      <c r="H64" s="20"/>
      <c r="I64" s="36">
        <f t="shared" si="3"/>
        <v>-1366</v>
      </c>
      <c r="J64" s="31"/>
      <c r="K64" s="36" t="e">
        <f>I64/SUM($E$11:E64)</f>
        <v>#DIV/0!</v>
      </c>
    </row>
    <row r="65" spans="2:11" x14ac:dyDescent="0.2">
      <c r="B65" s="39"/>
      <c r="C65" s="58"/>
      <c r="D65" s="53"/>
      <c r="E65" s="17"/>
      <c r="F65" s="21"/>
      <c r="G65" s="36">
        <v>0</v>
      </c>
      <c r="H65" s="20"/>
      <c r="I65" s="36">
        <f t="shared" si="3"/>
        <v>-1366</v>
      </c>
      <c r="J65" s="31"/>
      <c r="K65" s="36" t="e">
        <f>I65/SUM($E$11:E65)</f>
        <v>#DIV/0!</v>
      </c>
    </row>
    <row r="66" spans="2:11" x14ac:dyDescent="0.2">
      <c r="B66" s="39"/>
      <c r="C66" s="58"/>
      <c r="D66" s="53"/>
      <c r="E66" s="17"/>
      <c r="F66" s="21"/>
      <c r="G66" s="36">
        <v>0</v>
      </c>
      <c r="H66" s="20"/>
      <c r="I66" s="36">
        <f t="shared" si="3"/>
        <v>-1366</v>
      </c>
      <c r="J66" s="31"/>
      <c r="K66" s="36" t="e">
        <f>I66/SUM($E$11:E66)</f>
        <v>#DIV/0!</v>
      </c>
    </row>
    <row r="67" spans="2:11" x14ac:dyDescent="0.2">
      <c r="B67" s="39"/>
      <c r="C67" s="58"/>
      <c r="D67" s="53"/>
      <c r="E67" s="17"/>
      <c r="F67" s="21"/>
      <c r="G67" s="36">
        <v>0</v>
      </c>
      <c r="H67" s="20"/>
      <c r="I67" s="36">
        <f t="shared" si="3"/>
        <v>-1366</v>
      </c>
      <c r="J67" s="31"/>
      <c r="K67" s="36" t="e">
        <f>I67/SUM($E$11:E67)</f>
        <v>#DIV/0!</v>
      </c>
    </row>
    <row r="68" spans="2:11" x14ac:dyDescent="0.2">
      <c r="B68" s="39"/>
      <c r="C68" s="58"/>
      <c r="D68" s="53"/>
      <c r="E68" s="17"/>
      <c r="F68" s="21"/>
      <c r="G68" s="36">
        <v>0</v>
      </c>
      <c r="H68" s="20"/>
      <c r="I68" s="36">
        <f t="shared" si="3"/>
        <v>-1366</v>
      </c>
      <c r="J68" s="31"/>
      <c r="K68" s="36" t="e">
        <f>I68/SUM($E$11:E68)</f>
        <v>#DIV/0!</v>
      </c>
    </row>
    <row r="69" spans="2:11" x14ac:dyDescent="0.2">
      <c r="B69" s="39"/>
      <c r="C69" s="58"/>
      <c r="D69" s="53"/>
      <c r="E69" s="17"/>
      <c r="F69" s="21"/>
      <c r="G69" s="36">
        <v>0</v>
      </c>
      <c r="H69" s="20"/>
      <c r="I69" s="36">
        <f t="shared" si="3"/>
        <v>-1366</v>
      </c>
      <c r="J69" s="31"/>
      <c r="K69" s="36" t="e">
        <f>I69/SUM($E$11:E69)</f>
        <v>#DIV/0!</v>
      </c>
    </row>
    <row r="70" spans="2:11" x14ac:dyDescent="0.2">
      <c r="B70" s="39"/>
      <c r="C70" s="58"/>
      <c r="D70" s="53"/>
      <c r="E70" s="17"/>
      <c r="F70" s="21"/>
      <c r="G70" s="36">
        <v>0</v>
      </c>
      <c r="H70" s="20"/>
      <c r="I70" s="36">
        <f t="shared" si="3"/>
        <v>-1366</v>
      </c>
      <c r="J70" s="31"/>
      <c r="K70" s="36" t="e">
        <f>I70/SUM($E$11:E70)</f>
        <v>#DIV/0!</v>
      </c>
    </row>
    <row r="71" spans="2:11" x14ac:dyDescent="0.2">
      <c r="B71" s="39"/>
      <c r="C71" s="58"/>
      <c r="D71" s="53"/>
      <c r="E71" s="17"/>
      <c r="F71" s="21"/>
      <c r="G71" s="36">
        <v>0</v>
      </c>
      <c r="H71" s="20"/>
      <c r="I71" s="36">
        <f t="shared" si="3"/>
        <v>-1366</v>
      </c>
      <c r="J71" s="31"/>
      <c r="K71" s="36" t="e">
        <f>I71/SUM($E$11:E71)</f>
        <v>#DIV/0!</v>
      </c>
    </row>
    <row r="72" spans="2:11" x14ac:dyDescent="0.2">
      <c r="B72" s="39"/>
      <c r="C72" s="58"/>
      <c r="D72" s="53"/>
      <c r="E72" s="17"/>
      <c r="F72" s="21"/>
      <c r="G72" s="36">
        <v>0</v>
      </c>
      <c r="H72" s="20"/>
      <c r="I72" s="36">
        <f t="shared" si="3"/>
        <v>-1366</v>
      </c>
      <c r="J72" s="31"/>
      <c r="K72" s="36" t="e">
        <f>I72/SUM($E$11:E72)</f>
        <v>#DIV/0!</v>
      </c>
    </row>
    <row r="73" spans="2:11" ht="19" x14ac:dyDescent="0.25">
      <c r="B73" s="15"/>
      <c r="C73" s="58"/>
      <c r="D73" s="53"/>
      <c r="E73" s="17"/>
      <c r="F73" s="18"/>
      <c r="G73" s="25">
        <f>SUM(G37:G72)</f>
        <v>-1416</v>
      </c>
      <c r="H73" s="20"/>
      <c r="I73" s="19"/>
      <c r="J73" s="31"/>
      <c r="K73" s="22">
        <f>I73/3400</f>
        <v>0</v>
      </c>
    </row>
    <row r="74" spans="2:11" ht="4.75" customHeight="1" x14ac:dyDescent="0.2">
      <c r="B74" s="15"/>
      <c r="C74" s="58"/>
      <c r="D74" s="53"/>
      <c r="E74" s="17"/>
      <c r="F74" s="18"/>
      <c r="G74" s="19"/>
      <c r="H74" s="20"/>
      <c r="I74" s="20"/>
      <c r="J74" s="31"/>
      <c r="K74" s="17"/>
    </row>
    <row r="75" spans="2:11" ht="23" customHeight="1" x14ac:dyDescent="0.25">
      <c r="B75" s="15"/>
      <c r="C75" s="58"/>
      <c r="D75" s="53"/>
      <c r="E75" s="23">
        <f>SUM(E11:E73)</f>
        <v>0</v>
      </c>
      <c r="F75" s="24"/>
      <c r="H75" s="20"/>
      <c r="I75" s="20"/>
      <c r="J75" s="31"/>
      <c r="K75" s="17"/>
    </row>
  </sheetData>
  <mergeCells count="2">
    <mergeCell ref="B8:G8"/>
    <mergeCell ref="B1:C1"/>
  </mergeCells>
  <phoneticPr fontId="11" type="noConversion"/>
  <conditionalFormatting sqref="B73:B112">
    <cfRule type="expression" dxfId="139" priority="15">
      <formula>AND(ISNUMBER(SEARCH("call", B73)), J73="expired")</formula>
    </cfRule>
    <cfRule type="expression" dxfId="138" priority="16">
      <formula>AND(ISNUMBER(SEARCH("call", B73)), J73="assigned")</formula>
    </cfRule>
    <cfRule type="expression" dxfId="137" priority="17">
      <formula>J73="assigned"</formula>
    </cfRule>
    <cfRule type="expression" dxfId="136" priority="18">
      <formula>J73="expired"</formula>
    </cfRule>
  </conditionalFormatting>
  <conditionalFormatting sqref="B37:B46 B59:B72">
    <cfRule type="expression" dxfId="135" priority="6" stopIfTrue="1">
      <formula>J37="ROLL"</formula>
    </cfRule>
    <cfRule type="expression" dxfId="134" priority="7" stopIfTrue="1">
      <formula>AND(ISNUMBER(SEARCH("call", B37)), J37="expired")</formula>
    </cfRule>
    <cfRule type="expression" dxfId="133" priority="8" stopIfTrue="1">
      <formula>AND(ISNUMBER(SEARCH("call", B37)), J37="assigned")</formula>
    </cfRule>
    <cfRule type="expression" dxfId="132" priority="9" stopIfTrue="1">
      <formula>J37="assigned"</formula>
    </cfRule>
    <cfRule type="expression" dxfId="131" priority="10">
      <formula>J37="expired"</formula>
    </cfRule>
  </conditionalFormatting>
  <conditionalFormatting sqref="B47:B58">
    <cfRule type="expression" dxfId="130" priority="1" stopIfTrue="1">
      <formula>J47="ROLL"</formula>
    </cfRule>
    <cfRule type="expression" dxfId="129" priority="2" stopIfTrue="1">
      <formula>AND(ISNUMBER(SEARCH("call", B47)), J47="expired")</formula>
    </cfRule>
    <cfRule type="expression" dxfId="128" priority="3" stopIfTrue="1">
      <formula>AND(ISNUMBER(SEARCH("call", B47)), J47="assigned")</formula>
    </cfRule>
    <cfRule type="expression" dxfId="127" priority="4" stopIfTrue="1">
      <formula>J47="assigned"</formula>
    </cfRule>
    <cfRule type="expression" dxfId="126" priority="5">
      <formula>J47="expired"</formula>
    </cfRule>
  </conditionalFormatting>
  <pageMargins left="0.7" right="0.7" top="0.75" bottom="0.75" header="0.3" footer="0.3"/>
  <pageSetup paperSize="0" orientation="portrait" r:id="rId1"/>
</worksheet>
</file>

<file path=xl/worksheets/sheet4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8647-DF64-3C4C-A5FE-48A50FA8C421}">
  <sheetPr codeName="Sheet50"/>
  <dimension ref="B1:N79"/>
  <sheetViews>
    <sheetView topLeftCell="A10" zoomScale="120" zoomScaleNormal="120" workbookViewId="0">
      <selection activeCell="G44" sqref="G44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120</v>
      </c>
      <c r="C1" s="197"/>
    </row>
    <row r="2" spans="2:14" x14ac:dyDescent="0.2">
      <c r="B2" s="1"/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-84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67" t="s">
        <v>121</v>
      </c>
      <c r="C41" s="106" t="d">
        <v>2024-10-30</v>
      </c>
      <c r="D41" s="16"/>
      <c r="E41" s="155"/>
      <c r="F41" s="21"/>
      <c r="G41" s="36">
        <f>-12*7</f>
        <v>-84</v>
      </c>
      <c r="H41" s="20"/>
      <c r="I41" s="36">
        <f>I13+G41</f>
        <v>-84</v>
      </c>
      <c r="J41" s="31" t="s">
        <v>10</v>
      </c>
      <c r="K41" s="36" t="e">
        <f>I41/SUM($E$11:E41)</f>
        <v>#DIV/0!</v>
      </c>
    </row>
    <row r="42" spans="2:11" x14ac:dyDescent="0.2">
      <c r="B42" s="39"/>
      <c r="C42" s="16"/>
      <c r="D42" s="16"/>
      <c r="E42" s="155"/>
      <c r="F42" s="21"/>
      <c r="G42" s="36">
        <v>0</v>
      </c>
      <c r="H42" s="17"/>
      <c r="I42" s="36">
        <f t="shared" ref="I42:I76" si="2">I41+G42</f>
        <v>-84</v>
      </c>
      <c r="J42" s="31"/>
      <c r="K42" s="36" t="e">
        <f>I42/SUM($E$11:E42)</f>
        <v>#DIV/0!</v>
      </c>
    </row>
    <row r="43" spans="2:11" x14ac:dyDescent="0.2">
      <c r="B43" s="67"/>
      <c r="C43" s="16"/>
      <c r="D43" s="16"/>
      <c r="E43" s="155"/>
      <c r="G43" s="36">
        <v>0</v>
      </c>
      <c r="H43" s="17"/>
      <c r="I43" s="36">
        <f t="shared" si="2"/>
        <v>-84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-84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-84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-84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-84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-84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-84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-84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-84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-84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-84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-84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-84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-84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-84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-84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-84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-84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-84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-84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-84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-84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-84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-84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-84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-84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-84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-84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-84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-84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-84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-84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-84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-84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-84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125" priority="8" stopIfTrue="1">
      <formula>J77="assigned"</formula>
    </cfRule>
    <cfRule type="expression" dxfId="124" priority="9">
      <formula>J77="expired"</formula>
    </cfRule>
  </conditionalFormatting>
  <conditionalFormatting sqref="B77:B116">
    <cfRule type="expression" dxfId="123" priority="6">
      <formula>AND(ISNUMBER(SEARCH("call", B77)), J77="expired")</formula>
    </cfRule>
    <cfRule type="expression" dxfId="122" priority="7">
      <formula>AND(ISNUMBER(SEARCH("call", B77)), J77="assigned")</formula>
    </cfRule>
  </conditionalFormatting>
  <conditionalFormatting sqref="B41:B76">
    <cfRule type="expression" dxfId="121" priority="1" stopIfTrue="1">
      <formula>J41="ROLL"</formula>
    </cfRule>
    <cfRule type="expression" dxfId="120" priority="2" stopIfTrue="1">
      <formula>AND(ISNUMBER(SEARCH("call", B41)), J41="expired")</formula>
    </cfRule>
    <cfRule type="expression" dxfId="119" priority="3" stopIfTrue="1">
      <formula>AND(ISNUMBER(SEARCH("call", B41)), J41="assigned")</formula>
    </cfRule>
    <cfRule type="expression" dxfId="118" priority="4" stopIfTrue="1">
      <formula>J41="assigned"</formula>
    </cfRule>
    <cfRule type="expression" dxfId="117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4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9B89-DBBB-134E-9ACD-4F23CB699523}">
  <sheetPr codeName="Sheet33"/>
  <dimension ref="B1:N68"/>
  <sheetViews>
    <sheetView zoomScale="120" zoomScaleNormal="120" workbookViewId="0">
      <pane xSplit="1" ySplit="10" topLeftCell="B11" activePane="bottomRight" state="frozen"/>
      <selection activeCell="A55" sqref="A55"/>
      <selection pane="topRight" activeCell="A55" sqref="A55"/>
      <selection pane="bottomLeft" activeCell="A55" sqref="A55"/>
      <selection pane="bottomRight" activeCell="K24" sqref="K24"/>
    </sheetView>
  </sheetViews>
  <sheetFormatPr baseColWidth="10" defaultColWidth="8.83203125" defaultRowHeight="15" x14ac:dyDescent="0.2"/>
  <cols>
    <col min="1" max="1" width="6" style="70" customWidth="1"/>
    <col min="2" max="2" width="34.83203125" style="71" customWidth="1"/>
    <col min="3" max="3" width="16.33203125" style="109" customWidth="1"/>
    <col min="4" max="4" width="8.33203125" style="70" customWidth="1"/>
    <col min="5" max="5" width="10.83203125" style="70" customWidth="1"/>
    <col min="6" max="6" width="9.6640625" style="70" bestFit="1" customWidth="1"/>
    <col min="7" max="7" width="13.83203125" style="70" customWidth="1"/>
    <col min="8" max="8" width="3.5" style="70" customWidth="1"/>
    <col min="9" max="9" width="12.1640625" style="70" customWidth="1"/>
    <col min="10" max="10" width="13.5" style="148" customWidth="1"/>
    <col min="11" max="11" width="10.5" style="72" customWidth="1"/>
    <col min="12" max="12" width="26.6640625" style="70" customWidth="1"/>
    <col min="13" max="13" width="8.83203125" style="70"/>
    <col min="14" max="14" width="13.33203125" style="70" customWidth="1"/>
    <col min="15" max="16384" width="8.83203125" style="70"/>
  </cols>
  <sheetData>
    <row r="1" spans="2:14" ht="17" customHeight="1" x14ac:dyDescent="0.2">
      <c r="B1" s="200" t="s">
        <v>16</v>
      </c>
      <c r="C1" s="200"/>
    </row>
    <row r="2" spans="2:14" x14ac:dyDescent="0.2">
      <c r="B2" s="67"/>
      <c r="C2" s="110"/>
      <c r="D2" s="72"/>
      <c r="E2" s="72"/>
      <c r="F2" s="74"/>
      <c r="G2" s="75"/>
      <c r="N2" s="144" t="s">
        <v>268</v>
      </c>
    </row>
    <row r="3" spans="2:14" ht="19" x14ac:dyDescent="0.2">
      <c r="B3" s="111"/>
      <c r="C3" s="112"/>
      <c r="D3" s="77"/>
      <c r="E3" s="77"/>
      <c r="F3" s="78" t="s">
        <v>0</v>
      </c>
      <c r="G3" s="79">
        <f>IF(ISERROR(SUM(G24,G64)/G4),SUM(G24,G64),SUM(G24,G64)/G4)</f>
        <v>17.680000000000003</v>
      </c>
      <c r="I3" s="70" t="s">
        <v>279</v>
      </c>
      <c r="J3" s="80">
        <v>16</v>
      </c>
      <c r="K3" s="77"/>
      <c r="N3" s="143" t="s">
        <v>269</v>
      </c>
    </row>
    <row r="4" spans="2:14" x14ac:dyDescent="0.2">
      <c r="B4" s="113"/>
      <c r="C4" s="110"/>
      <c r="D4" s="72"/>
      <c r="E4" s="72"/>
      <c r="F4" s="74" t="s">
        <v>2</v>
      </c>
      <c r="G4" s="81">
        <f>SUM(E11:E131)</f>
        <v>1</v>
      </c>
      <c r="N4" s="145" t="s">
        <v>270</v>
      </c>
    </row>
    <row r="5" spans="2:14" x14ac:dyDescent="0.2">
      <c r="C5" s="110"/>
      <c r="D5" s="72"/>
      <c r="E5" s="72"/>
      <c r="F5" s="74"/>
      <c r="G5" s="75"/>
      <c r="N5" s="146" t="s">
        <v>271</v>
      </c>
    </row>
    <row r="6" spans="2:14" x14ac:dyDescent="0.2">
      <c r="C6" s="106"/>
      <c r="D6" s="83"/>
      <c r="E6" s="83"/>
      <c r="F6" s="84"/>
      <c r="G6" s="85"/>
      <c r="H6" s="69"/>
      <c r="I6" s="69"/>
      <c r="J6" s="149"/>
      <c r="K6" s="83"/>
      <c r="N6" s="147" t="s">
        <v>266</v>
      </c>
    </row>
    <row r="7" spans="2:14" ht="6" customHeight="1" x14ac:dyDescent="0.2">
      <c r="B7" s="67"/>
      <c r="C7" s="106"/>
      <c r="D7" s="83"/>
      <c r="E7" s="83"/>
      <c r="F7" s="84"/>
      <c r="G7" s="85"/>
      <c r="H7" s="69"/>
      <c r="I7" s="69"/>
      <c r="J7" s="149"/>
      <c r="K7" s="83"/>
    </row>
    <row r="8" spans="2:14" s="90" customFormat="1" ht="12" x14ac:dyDescent="0.2">
      <c r="B8" s="199" t="s">
        <v>3</v>
      </c>
      <c r="C8" s="199"/>
      <c r="D8" s="199"/>
      <c r="E8" s="199"/>
      <c r="F8" s="199"/>
      <c r="G8" s="199"/>
      <c r="H8" s="87"/>
      <c r="I8" s="88" t="s">
        <v>4</v>
      </c>
      <c r="J8" s="150"/>
      <c r="K8" s="88" t="s">
        <v>5</v>
      </c>
    </row>
    <row r="9" spans="2:14" ht="16" x14ac:dyDescent="0.2">
      <c r="B9" s="114" t="s">
        <v>11</v>
      </c>
      <c r="C9" s="115" t="s">
        <v>6</v>
      </c>
      <c r="D9" s="92" t="s">
        <v>39</v>
      </c>
      <c r="E9" s="92" t="s">
        <v>2</v>
      </c>
      <c r="F9" s="93" t="s">
        <v>7</v>
      </c>
      <c r="G9" s="94" t="s">
        <v>8</v>
      </c>
      <c r="H9" s="92"/>
      <c r="I9" s="92"/>
      <c r="J9" s="95"/>
      <c r="K9" s="92"/>
    </row>
    <row r="10" spans="2:14" ht="5.5" customHeight="1" x14ac:dyDescent="0.2">
      <c r="B10" s="114"/>
      <c r="C10" s="115"/>
      <c r="D10" s="92"/>
      <c r="E10" s="92"/>
      <c r="F10" s="93"/>
      <c r="G10" s="94"/>
      <c r="H10" s="92"/>
      <c r="I10" s="92"/>
      <c r="J10" s="95"/>
      <c r="K10" s="92"/>
    </row>
    <row r="11" spans="2:14" ht="16" x14ac:dyDescent="0.2">
      <c r="B11" s="15" t="s">
        <v>23</v>
      </c>
      <c r="C11" s="58" t="d">
        <v>2024-11-16</v>
      </c>
      <c r="D11" s="53"/>
      <c r="E11" s="17">
        <v>1</v>
      </c>
      <c r="F11" s="21">
        <v>19.54</v>
      </c>
      <c r="G11" s="44">
        <f>E11*F11</f>
        <v>19.54</v>
      </c>
      <c r="H11" s="69"/>
      <c r="I11" s="99">
        <f>G11</f>
        <v>19.54</v>
      </c>
      <c r="K11" s="105">
        <f>IF(ISERROR(I11/$G$4),0,I11/SUM($E$11:E11))</f>
        <v>19.54</v>
      </c>
      <c r="L11" s="86" t="s">
        <v>85</v>
      </c>
    </row>
    <row r="12" spans="2:14" x14ac:dyDescent="0.2">
      <c r="B12" s="15" t="s">
        <v>203</v>
      </c>
      <c r="C12" s="58" t="d">
        <v>2024-12-20</v>
      </c>
      <c r="D12" s="53"/>
      <c r="E12" s="17"/>
      <c r="F12" s="21"/>
      <c r="G12" s="44">
        <v>-0.65</v>
      </c>
      <c r="H12" s="69"/>
      <c r="I12" s="99">
        <f>I11+G12</f>
        <v>18.89</v>
      </c>
      <c r="J12" s="149"/>
      <c r="K12" s="105">
        <f>IF(ISERROR(I12/$G$4),0,I12/SUM($E$11:E12))</f>
        <v>18.89</v>
      </c>
    </row>
    <row r="13" spans="2:14" x14ac:dyDescent="0.2">
      <c r="B13" s="15" t="s">
        <v>203</v>
      </c>
      <c r="C13" s="58" t="d">
        <v>2025-01-17</v>
      </c>
      <c r="D13" s="53"/>
      <c r="E13" s="17"/>
      <c r="F13" s="21"/>
      <c r="G13" s="44">
        <v>-0.63</v>
      </c>
      <c r="H13" s="69"/>
      <c r="I13" s="99">
        <f>I12+G13</f>
        <v>18.260000000000002</v>
      </c>
      <c r="J13" s="149"/>
      <c r="K13" s="105">
        <f>IF(ISERROR(I13/$G$4),0,I13/SUM($E$11:E13))</f>
        <v>18.260000000000002</v>
      </c>
    </row>
    <row r="14" spans="2:14" x14ac:dyDescent="0.2">
      <c r="B14" s="15" t="s">
        <v>203</v>
      </c>
      <c r="C14" s="58" t="d">
        <v>2025-02-14</v>
      </c>
      <c r="D14" s="53"/>
      <c r="E14" s="17"/>
      <c r="F14" s="21"/>
      <c r="G14" s="44">
        <v>-0.57999999999999996</v>
      </c>
      <c r="H14" s="69"/>
      <c r="I14" s="99">
        <f>I13+G14</f>
        <v>17.680000000000003</v>
      </c>
      <c r="J14" s="149"/>
      <c r="K14" s="105">
        <f>IF(ISERROR(I14/$G$4),0,I14/SUM($E$11:E14))</f>
        <v>17.680000000000003</v>
      </c>
    </row>
    <row r="15" spans="2:14" x14ac:dyDescent="0.2">
      <c r="B15" s="67"/>
      <c r="C15" s="106"/>
      <c r="D15" s="96"/>
      <c r="E15" s="83"/>
      <c r="F15" s="116"/>
      <c r="G15" s="99">
        <f t="shared" ref="G15:G22" si="0">E15*F15</f>
        <v>0</v>
      </c>
      <c r="H15" s="69"/>
      <c r="I15" s="99">
        <f t="shared" ref="I15:I22" si="1">I14+G15</f>
        <v>17.680000000000003</v>
      </c>
      <c r="J15" s="149"/>
      <c r="K15" s="105">
        <f>IF(ISERROR(I15/$G$4),0,I15/SUM($E$11:E15))</f>
        <v>17.680000000000003</v>
      </c>
    </row>
    <row r="16" spans="2:14" x14ac:dyDescent="0.2">
      <c r="B16" s="67"/>
      <c r="C16" s="106"/>
      <c r="D16" s="96"/>
      <c r="E16" s="83"/>
      <c r="F16" s="116"/>
      <c r="G16" s="99">
        <f t="shared" si="0"/>
        <v>0</v>
      </c>
      <c r="H16" s="69"/>
      <c r="I16" s="99">
        <f t="shared" si="1"/>
        <v>17.680000000000003</v>
      </c>
      <c r="J16" s="149"/>
      <c r="K16" s="105">
        <f>IF(ISERROR(I16/$G$4),0,I16/SUM($E$11:E16))</f>
        <v>17.680000000000003</v>
      </c>
    </row>
    <row r="17" spans="2:12" x14ac:dyDescent="0.2">
      <c r="B17" s="67"/>
      <c r="C17" s="106"/>
      <c r="D17" s="96"/>
      <c r="E17" s="83"/>
      <c r="F17" s="116"/>
      <c r="G17" s="99">
        <f t="shared" si="0"/>
        <v>0</v>
      </c>
      <c r="H17" s="69"/>
      <c r="I17" s="99">
        <f t="shared" si="1"/>
        <v>17.680000000000003</v>
      </c>
      <c r="J17" s="149"/>
      <c r="K17" s="105">
        <f>IF(ISERROR(I17/$G$4),0,I17/SUM($E$11:E17))</f>
        <v>17.680000000000003</v>
      </c>
    </row>
    <row r="18" spans="2:12" x14ac:dyDescent="0.2">
      <c r="B18" s="67"/>
      <c r="C18" s="106"/>
      <c r="D18" s="96"/>
      <c r="E18" s="83"/>
      <c r="F18" s="116"/>
      <c r="G18" s="99">
        <f t="shared" si="0"/>
        <v>0</v>
      </c>
      <c r="H18" s="69"/>
      <c r="I18" s="99">
        <f t="shared" si="1"/>
        <v>17.680000000000003</v>
      </c>
      <c r="J18" s="149"/>
      <c r="K18" s="105">
        <f>IF(ISERROR(I18/$G$4),0,I18/SUM($E$11:E18))</f>
        <v>17.680000000000003</v>
      </c>
    </row>
    <row r="19" spans="2:12" x14ac:dyDescent="0.2">
      <c r="B19" s="67"/>
      <c r="C19" s="106"/>
      <c r="D19" s="96"/>
      <c r="E19" s="83"/>
      <c r="F19" s="116"/>
      <c r="G19" s="99">
        <f t="shared" si="0"/>
        <v>0</v>
      </c>
      <c r="H19" s="69"/>
      <c r="I19" s="99">
        <f t="shared" si="1"/>
        <v>17.680000000000003</v>
      </c>
      <c r="J19" s="149"/>
      <c r="K19" s="105">
        <f>IF(ISERROR(I19/$G$4),0,I19/SUM($E$11:E19))</f>
        <v>17.680000000000003</v>
      </c>
    </row>
    <row r="20" spans="2:12" x14ac:dyDescent="0.2">
      <c r="B20" s="67"/>
      <c r="C20" s="106"/>
      <c r="D20" s="96"/>
      <c r="E20" s="83"/>
      <c r="F20" s="116"/>
      <c r="G20" s="99">
        <f t="shared" si="0"/>
        <v>0</v>
      </c>
      <c r="H20" s="69"/>
      <c r="I20" s="99">
        <f t="shared" si="1"/>
        <v>17.680000000000003</v>
      </c>
      <c r="J20" s="149"/>
      <c r="K20" s="105">
        <f>IF(ISERROR(I20/$G$4),0,I20/SUM($E$11:E20))</f>
        <v>17.680000000000003</v>
      </c>
    </row>
    <row r="21" spans="2:12" x14ac:dyDescent="0.2">
      <c r="B21" s="67"/>
      <c r="C21" s="106"/>
      <c r="D21" s="96"/>
      <c r="E21" s="83"/>
      <c r="F21" s="116"/>
      <c r="G21" s="99">
        <f t="shared" si="0"/>
        <v>0</v>
      </c>
      <c r="H21" s="69"/>
      <c r="I21" s="99">
        <f t="shared" si="1"/>
        <v>17.680000000000003</v>
      </c>
      <c r="J21" s="149"/>
      <c r="K21" s="105">
        <f>IF(ISERROR(I21/$G$4),0,I21/SUM($E$11:E21))</f>
        <v>17.680000000000003</v>
      </c>
    </row>
    <row r="22" spans="2:12" x14ac:dyDescent="0.2">
      <c r="B22" s="67"/>
      <c r="C22" s="106"/>
      <c r="D22" s="96"/>
      <c r="E22" s="83"/>
      <c r="F22" s="116"/>
      <c r="G22" s="99">
        <f t="shared" si="0"/>
        <v>0</v>
      </c>
      <c r="H22" s="69"/>
      <c r="I22" s="99">
        <f t="shared" si="1"/>
        <v>17.680000000000003</v>
      </c>
      <c r="J22" s="149"/>
      <c r="K22" s="105">
        <f>IF(ISERROR(I22/$G$4),0,I22/SUM($E$11:E22))</f>
        <v>17.680000000000003</v>
      </c>
    </row>
    <row r="23" spans="2:12" x14ac:dyDescent="0.2">
      <c r="B23" s="67"/>
      <c r="C23" s="106"/>
      <c r="D23" s="96"/>
      <c r="E23" s="83"/>
      <c r="F23" s="116"/>
      <c r="G23" s="99">
        <f>E23*F23</f>
        <v>0</v>
      </c>
      <c r="H23" s="69"/>
      <c r="I23" s="99">
        <f>I14+G23</f>
        <v>17.680000000000003</v>
      </c>
      <c r="J23" s="149"/>
      <c r="K23" s="105">
        <f>IF(ISERROR(I23/$G$4),0,I23/SUM($E$11:E23))</f>
        <v>17.680000000000003</v>
      </c>
    </row>
    <row r="24" spans="2:12" ht="19" x14ac:dyDescent="0.2">
      <c r="G24" s="162">
        <f>SUM(G11:G23)</f>
        <v>17.680000000000003</v>
      </c>
      <c r="H24" s="69"/>
      <c r="I24" s="85"/>
      <c r="J24" s="149"/>
      <c r="K24" s="162">
        <f>SUM(G11:G23)/SUM(E11:E23)</f>
        <v>17.680000000000003</v>
      </c>
    </row>
    <row r="25" spans="2:12" ht="6" customHeight="1" x14ac:dyDescent="0.2">
      <c r="B25" s="117"/>
      <c r="C25" s="118"/>
      <c r="D25" s="119"/>
      <c r="E25" s="119"/>
      <c r="F25" s="120"/>
      <c r="G25" s="121"/>
      <c r="H25" s="122"/>
      <c r="I25" s="122"/>
      <c r="J25" s="151"/>
      <c r="K25" s="119"/>
    </row>
    <row r="26" spans="2:12" ht="6.5" customHeight="1" x14ac:dyDescent="0.2">
      <c r="B26" s="117"/>
      <c r="C26" s="118"/>
      <c r="D26" s="119"/>
      <c r="E26" s="119"/>
      <c r="F26" s="120"/>
      <c r="G26" s="121"/>
      <c r="H26" s="122"/>
      <c r="I26" s="122"/>
      <c r="J26" s="151"/>
      <c r="K26" s="119"/>
    </row>
    <row r="27" spans="2:12" x14ac:dyDescent="0.2">
      <c r="B27" s="39"/>
      <c r="C27" s="106"/>
      <c r="D27" s="107"/>
      <c r="E27" s="83"/>
      <c r="F27" s="101"/>
      <c r="G27" s="36"/>
      <c r="H27" s="69"/>
      <c r="I27" s="124">
        <f>I23+G27</f>
        <v>17.680000000000003</v>
      </c>
      <c r="J27" s="149"/>
      <c r="K27" s="125">
        <f>I27/SUM($E$11:E27)</f>
        <v>17.680000000000003</v>
      </c>
    </row>
    <row r="28" spans="2:12" ht="17" customHeight="1" x14ac:dyDescent="0.2">
      <c r="B28" s="39"/>
      <c r="C28" s="106"/>
      <c r="D28" s="107"/>
      <c r="E28" s="83"/>
      <c r="F28" s="101"/>
      <c r="G28" s="36"/>
      <c r="H28" s="69"/>
      <c r="I28" s="124">
        <f t="shared" ref="I28:I62" si="2">I27+G28</f>
        <v>17.680000000000003</v>
      </c>
      <c r="J28" s="149"/>
      <c r="K28" s="125">
        <f>I28/SUM($E$11:E28)</f>
        <v>17.680000000000003</v>
      </c>
      <c r="L28" s="86" t="s">
        <v>247</v>
      </c>
    </row>
    <row r="29" spans="2:12" x14ac:dyDescent="0.2">
      <c r="B29" s="39"/>
      <c r="C29" s="106"/>
      <c r="D29" s="107"/>
      <c r="E29" s="83"/>
      <c r="F29" s="84"/>
      <c r="G29" s="36"/>
      <c r="H29" s="69"/>
      <c r="I29" s="124">
        <f t="shared" si="2"/>
        <v>17.680000000000003</v>
      </c>
      <c r="J29" s="149"/>
      <c r="K29" s="125">
        <f>I29/SUM($E$11:E29)</f>
        <v>17.680000000000003</v>
      </c>
    </row>
    <row r="30" spans="2:12" x14ac:dyDescent="0.2">
      <c r="B30" s="39"/>
      <c r="C30" s="106"/>
      <c r="D30" s="107"/>
      <c r="E30" s="83"/>
      <c r="F30" s="84"/>
      <c r="G30" s="36"/>
      <c r="H30" s="69"/>
      <c r="I30" s="124">
        <f t="shared" si="2"/>
        <v>17.680000000000003</v>
      </c>
      <c r="J30" s="149"/>
      <c r="K30" s="125">
        <f>I30/SUM($E$11:E30)</f>
        <v>17.680000000000003</v>
      </c>
    </row>
    <row r="31" spans="2:12" x14ac:dyDescent="0.2">
      <c r="B31" s="39"/>
      <c r="C31" s="106"/>
      <c r="D31" s="107"/>
      <c r="E31" s="83"/>
      <c r="F31" s="84"/>
      <c r="G31" s="36"/>
      <c r="H31" s="69"/>
      <c r="I31" s="124">
        <f t="shared" si="2"/>
        <v>17.680000000000003</v>
      </c>
      <c r="J31" s="149"/>
      <c r="K31" s="125">
        <f>I31/SUM($E$11:E31)</f>
        <v>17.680000000000003</v>
      </c>
    </row>
    <row r="32" spans="2:12" ht="16" x14ac:dyDescent="0.2">
      <c r="B32" s="39"/>
      <c r="C32" s="106"/>
      <c r="D32" s="107"/>
      <c r="E32" s="83"/>
      <c r="F32" s="84"/>
      <c r="G32" s="36"/>
      <c r="H32" s="69"/>
      <c r="I32" s="124">
        <f t="shared" si="2"/>
        <v>17.680000000000003</v>
      </c>
      <c r="J32" s="149"/>
      <c r="K32" s="125">
        <f>I32/SUM($E$11:E32)</f>
        <v>17.680000000000003</v>
      </c>
      <c r="L32" s="86" t="s">
        <v>57</v>
      </c>
    </row>
    <row r="33" spans="2:11" x14ac:dyDescent="0.2">
      <c r="B33" s="39"/>
      <c r="C33" s="106"/>
      <c r="D33" s="107"/>
      <c r="E33" s="83"/>
      <c r="F33" s="84"/>
      <c r="G33" s="36"/>
      <c r="H33" s="69"/>
      <c r="I33" s="124">
        <f t="shared" si="2"/>
        <v>17.680000000000003</v>
      </c>
      <c r="J33" s="149"/>
      <c r="K33" s="125">
        <f>I33/SUM($E$11:E33)</f>
        <v>17.680000000000003</v>
      </c>
    </row>
    <row r="34" spans="2:11" x14ac:dyDescent="0.2">
      <c r="B34" s="39"/>
      <c r="C34" s="106"/>
      <c r="D34" s="107"/>
      <c r="E34" s="83"/>
      <c r="F34" s="84"/>
      <c r="G34" s="36"/>
      <c r="H34" s="69"/>
      <c r="I34" s="124">
        <f t="shared" si="2"/>
        <v>17.680000000000003</v>
      </c>
      <c r="J34" s="149"/>
      <c r="K34" s="125">
        <f>I34/SUM($E$11:E34)</f>
        <v>17.680000000000003</v>
      </c>
    </row>
    <row r="35" spans="2:11" x14ac:dyDescent="0.2">
      <c r="B35" s="39"/>
      <c r="C35" s="106"/>
      <c r="D35" s="107"/>
      <c r="E35" s="83"/>
      <c r="F35" s="84"/>
      <c r="G35" s="36"/>
      <c r="H35" s="69"/>
      <c r="I35" s="124">
        <f t="shared" si="2"/>
        <v>17.680000000000003</v>
      </c>
      <c r="J35" s="149"/>
      <c r="K35" s="125">
        <f>I35/SUM($E$11:E35)</f>
        <v>17.680000000000003</v>
      </c>
    </row>
    <row r="36" spans="2:11" x14ac:dyDescent="0.2">
      <c r="B36" s="39"/>
      <c r="C36" s="106"/>
      <c r="D36" s="107"/>
      <c r="E36" s="83"/>
      <c r="F36" s="84"/>
      <c r="G36" s="36"/>
      <c r="H36" s="69"/>
      <c r="I36" s="124">
        <f t="shared" si="2"/>
        <v>17.680000000000003</v>
      </c>
      <c r="J36" s="149"/>
      <c r="K36" s="125">
        <f>I36/SUM($E$11:E36)</f>
        <v>17.680000000000003</v>
      </c>
    </row>
    <row r="37" spans="2:11" x14ac:dyDescent="0.2">
      <c r="B37" s="39"/>
      <c r="C37" s="106"/>
      <c r="D37" s="107"/>
      <c r="E37" s="83"/>
      <c r="F37" s="84"/>
      <c r="G37" s="36"/>
      <c r="H37" s="69"/>
      <c r="I37" s="124">
        <f t="shared" si="2"/>
        <v>17.680000000000003</v>
      </c>
      <c r="J37" s="149"/>
      <c r="K37" s="125">
        <f>I37/SUM($E$11:E37)</f>
        <v>17.680000000000003</v>
      </c>
    </row>
    <row r="38" spans="2:11" x14ac:dyDescent="0.2">
      <c r="B38" s="39"/>
      <c r="C38" s="106"/>
      <c r="D38" s="107"/>
      <c r="E38" s="83"/>
      <c r="F38" s="84"/>
      <c r="G38" s="36"/>
      <c r="H38" s="69"/>
      <c r="I38" s="124">
        <f t="shared" si="2"/>
        <v>17.680000000000003</v>
      </c>
      <c r="J38" s="149"/>
      <c r="K38" s="125">
        <f>I38/SUM($E$11:E38)</f>
        <v>17.680000000000003</v>
      </c>
    </row>
    <row r="39" spans="2:11" x14ac:dyDescent="0.2">
      <c r="B39" s="39"/>
      <c r="C39" s="106"/>
      <c r="D39" s="107"/>
      <c r="E39" s="83"/>
      <c r="F39" s="84"/>
      <c r="G39" s="36"/>
      <c r="H39" s="69"/>
      <c r="I39" s="124">
        <f t="shared" si="2"/>
        <v>17.680000000000003</v>
      </c>
      <c r="J39" s="149"/>
      <c r="K39" s="125">
        <f>I39/SUM($E$11:E39)</f>
        <v>17.680000000000003</v>
      </c>
    </row>
    <row r="40" spans="2:11" x14ac:dyDescent="0.2">
      <c r="B40" s="39"/>
      <c r="C40" s="106"/>
      <c r="D40" s="107"/>
      <c r="E40" s="83"/>
      <c r="F40" s="84"/>
      <c r="G40" s="36"/>
      <c r="H40" s="69"/>
      <c r="I40" s="124">
        <f t="shared" si="2"/>
        <v>17.680000000000003</v>
      </c>
      <c r="J40" s="149"/>
      <c r="K40" s="125">
        <f>I40/SUM($E$11:E40)</f>
        <v>17.680000000000003</v>
      </c>
    </row>
    <row r="41" spans="2:11" x14ac:dyDescent="0.2">
      <c r="B41" s="39"/>
      <c r="C41" s="106"/>
      <c r="D41" s="107"/>
      <c r="E41" s="83"/>
      <c r="F41" s="84"/>
      <c r="G41" s="36"/>
      <c r="H41" s="69"/>
      <c r="I41" s="124">
        <f t="shared" si="2"/>
        <v>17.680000000000003</v>
      </c>
      <c r="J41" s="149"/>
      <c r="K41" s="125">
        <f>I41/SUM($E$11:E41)</f>
        <v>17.680000000000003</v>
      </c>
    </row>
    <row r="42" spans="2:11" x14ac:dyDescent="0.2">
      <c r="B42" s="39"/>
      <c r="C42" s="106"/>
      <c r="D42" s="107"/>
      <c r="E42" s="83"/>
      <c r="F42" s="84"/>
      <c r="G42" s="36"/>
      <c r="H42" s="69"/>
      <c r="I42" s="124">
        <f t="shared" si="2"/>
        <v>17.680000000000003</v>
      </c>
      <c r="J42" s="149"/>
      <c r="K42" s="125">
        <f>I42/SUM($E$11:E42)</f>
        <v>17.680000000000003</v>
      </c>
    </row>
    <row r="43" spans="2:11" x14ac:dyDescent="0.2">
      <c r="B43" s="39"/>
      <c r="C43" s="106"/>
      <c r="D43" s="107"/>
      <c r="E43" s="83"/>
      <c r="F43" s="84"/>
      <c r="G43" s="36"/>
      <c r="H43" s="69"/>
      <c r="I43" s="124">
        <f t="shared" si="2"/>
        <v>17.680000000000003</v>
      </c>
      <c r="J43" s="149"/>
      <c r="K43" s="125">
        <f>I43/SUM($E$11:E43)</f>
        <v>17.680000000000003</v>
      </c>
    </row>
    <row r="44" spans="2:11" x14ac:dyDescent="0.2">
      <c r="B44" s="39"/>
      <c r="C44" s="106"/>
      <c r="D44" s="107"/>
      <c r="E44" s="83"/>
      <c r="F44" s="84"/>
      <c r="G44" s="36"/>
      <c r="H44" s="69"/>
      <c r="I44" s="124">
        <f t="shared" si="2"/>
        <v>17.680000000000003</v>
      </c>
      <c r="J44" s="149"/>
      <c r="K44" s="125">
        <f>I44/SUM($E$11:E44)</f>
        <v>17.680000000000003</v>
      </c>
    </row>
    <row r="45" spans="2:11" x14ac:dyDescent="0.2">
      <c r="B45" s="39"/>
      <c r="C45" s="106"/>
      <c r="D45" s="107"/>
      <c r="E45" s="83"/>
      <c r="F45" s="84"/>
      <c r="G45" s="36"/>
      <c r="H45" s="69"/>
      <c r="I45" s="124">
        <f t="shared" si="2"/>
        <v>17.680000000000003</v>
      </c>
      <c r="J45" s="149"/>
      <c r="K45" s="125">
        <f>I45/SUM($E$11:E45)</f>
        <v>17.680000000000003</v>
      </c>
    </row>
    <row r="46" spans="2:11" x14ac:dyDescent="0.2">
      <c r="B46" s="39"/>
      <c r="C46" s="106"/>
      <c r="D46" s="107"/>
      <c r="E46" s="83"/>
      <c r="F46" s="84"/>
      <c r="G46" s="36"/>
      <c r="H46" s="69"/>
      <c r="I46" s="124">
        <f t="shared" si="2"/>
        <v>17.680000000000003</v>
      </c>
      <c r="J46" s="149"/>
      <c r="K46" s="125">
        <f>I46/SUM($E$11:E46)</f>
        <v>17.680000000000003</v>
      </c>
    </row>
    <row r="47" spans="2:11" x14ac:dyDescent="0.2">
      <c r="B47" s="39"/>
      <c r="C47" s="106"/>
      <c r="D47" s="107"/>
      <c r="E47" s="83"/>
      <c r="F47" s="84"/>
      <c r="G47" s="36"/>
      <c r="H47" s="69"/>
      <c r="I47" s="124">
        <f t="shared" si="2"/>
        <v>17.680000000000003</v>
      </c>
      <c r="J47" s="149"/>
      <c r="K47" s="125">
        <f>I47/SUM($E$11:E47)</f>
        <v>17.680000000000003</v>
      </c>
    </row>
    <row r="48" spans="2:11" x14ac:dyDescent="0.2">
      <c r="B48" s="39"/>
      <c r="C48" s="106"/>
      <c r="D48" s="107"/>
      <c r="E48" s="83"/>
      <c r="F48" s="84"/>
      <c r="G48" s="36"/>
      <c r="H48" s="69"/>
      <c r="I48" s="124">
        <f t="shared" si="2"/>
        <v>17.680000000000003</v>
      </c>
      <c r="J48" s="149"/>
      <c r="K48" s="125">
        <f>I48/SUM($E$11:E48)</f>
        <v>17.680000000000003</v>
      </c>
    </row>
    <row r="49" spans="2:11" x14ac:dyDescent="0.2">
      <c r="B49" s="39"/>
      <c r="C49" s="106"/>
      <c r="D49" s="107"/>
      <c r="E49" s="83"/>
      <c r="F49" s="84"/>
      <c r="G49" s="36"/>
      <c r="H49" s="69"/>
      <c r="I49" s="124">
        <f t="shared" si="2"/>
        <v>17.680000000000003</v>
      </c>
      <c r="J49" s="149"/>
      <c r="K49" s="125">
        <f>I49/SUM($E$11:E49)</f>
        <v>17.680000000000003</v>
      </c>
    </row>
    <row r="50" spans="2:11" x14ac:dyDescent="0.2">
      <c r="B50" s="39"/>
      <c r="C50" s="106"/>
      <c r="D50" s="107"/>
      <c r="E50" s="83"/>
      <c r="F50" s="84"/>
      <c r="G50" s="36"/>
      <c r="H50" s="69"/>
      <c r="I50" s="124">
        <f t="shared" si="2"/>
        <v>17.680000000000003</v>
      </c>
      <c r="J50" s="149"/>
      <c r="K50" s="125">
        <f>I50/SUM($E$11:E50)</f>
        <v>17.680000000000003</v>
      </c>
    </row>
    <row r="51" spans="2:11" customFormat="1" ht="16" customHeight="1" x14ac:dyDescent="0.2">
      <c r="B51" s="39"/>
      <c r="C51" s="58"/>
      <c r="D51" s="53"/>
      <c r="E51" s="17"/>
      <c r="F51" s="18"/>
      <c r="G51" s="36"/>
      <c r="H51" s="20"/>
      <c r="I51" s="46">
        <f t="shared" si="2"/>
        <v>17.680000000000003</v>
      </c>
      <c r="J51" s="152"/>
      <c r="K51" s="37">
        <f>I51/SUM($E$11:E51)</f>
        <v>17.680000000000003</v>
      </c>
    </row>
    <row r="52" spans="2:11" x14ac:dyDescent="0.2">
      <c r="B52" s="39"/>
      <c r="C52" s="106"/>
      <c r="D52" s="107"/>
      <c r="E52" s="83"/>
      <c r="F52" s="84"/>
      <c r="G52" s="36"/>
      <c r="H52" s="69"/>
      <c r="I52" s="124">
        <f t="shared" si="2"/>
        <v>17.680000000000003</v>
      </c>
      <c r="J52" s="149"/>
      <c r="K52" s="125">
        <f>I52/SUM($E$11:E52)</f>
        <v>17.680000000000003</v>
      </c>
    </row>
    <row r="53" spans="2:11" x14ac:dyDescent="0.2">
      <c r="B53" s="39"/>
      <c r="C53" s="106"/>
      <c r="D53" s="107"/>
      <c r="E53" s="83"/>
      <c r="F53" s="84"/>
      <c r="G53" s="36"/>
      <c r="H53" s="69"/>
      <c r="I53" s="124">
        <f t="shared" si="2"/>
        <v>17.680000000000003</v>
      </c>
      <c r="J53" s="149"/>
      <c r="K53" s="125">
        <f>I53/SUM($E$11:E53)</f>
        <v>17.680000000000003</v>
      </c>
    </row>
    <row r="54" spans="2:11" x14ac:dyDescent="0.2">
      <c r="B54" s="39"/>
      <c r="C54" s="106"/>
      <c r="D54" s="107"/>
      <c r="E54" s="83"/>
      <c r="F54" s="84"/>
      <c r="G54" s="36"/>
      <c r="H54" s="69"/>
      <c r="I54" s="124">
        <f t="shared" si="2"/>
        <v>17.680000000000003</v>
      </c>
      <c r="J54" s="149"/>
      <c r="K54" s="125">
        <f>I54/SUM($E$11:E54)</f>
        <v>17.680000000000003</v>
      </c>
    </row>
    <row r="55" spans="2:11" x14ac:dyDescent="0.2">
      <c r="B55" s="39"/>
      <c r="C55" s="106"/>
      <c r="D55" s="107"/>
      <c r="E55" s="83"/>
      <c r="F55" s="84"/>
      <c r="G55" s="36"/>
      <c r="H55" s="69"/>
      <c r="I55" s="124">
        <f t="shared" si="2"/>
        <v>17.680000000000003</v>
      </c>
      <c r="J55" s="149"/>
      <c r="K55" s="125">
        <f>I55/SUM($E$11:E55)</f>
        <v>17.680000000000003</v>
      </c>
    </row>
    <row r="56" spans="2:11" x14ac:dyDescent="0.2">
      <c r="B56" s="39"/>
      <c r="C56" s="106"/>
      <c r="D56" s="107"/>
      <c r="E56" s="83"/>
      <c r="F56" s="84"/>
      <c r="G56" s="36"/>
      <c r="H56" s="69"/>
      <c r="I56" s="124">
        <f t="shared" si="2"/>
        <v>17.680000000000003</v>
      </c>
      <c r="J56" s="149"/>
      <c r="K56" s="125">
        <f>I56/SUM($E$11:E56)</f>
        <v>17.680000000000003</v>
      </c>
    </row>
    <row r="57" spans="2:11" x14ac:dyDescent="0.2">
      <c r="B57" s="39"/>
      <c r="C57" s="106"/>
      <c r="D57" s="107"/>
      <c r="E57" s="83"/>
      <c r="F57" s="84"/>
      <c r="G57" s="36"/>
      <c r="H57" s="69"/>
      <c r="I57" s="124">
        <f t="shared" si="2"/>
        <v>17.680000000000003</v>
      </c>
      <c r="J57" s="149"/>
      <c r="K57" s="125">
        <f>I57/SUM($E$11:E57)</f>
        <v>17.680000000000003</v>
      </c>
    </row>
    <row r="58" spans="2:11" x14ac:dyDescent="0.2">
      <c r="B58" s="39"/>
      <c r="C58" s="106"/>
      <c r="D58" s="107"/>
      <c r="E58" s="83"/>
      <c r="F58" s="84"/>
      <c r="G58" s="36"/>
      <c r="H58" s="69"/>
      <c r="I58" s="124">
        <f t="shared" si="2"/>
        <v>17.680000000000003</v>
      </c>
      <c r="J58" s="149"/>
      <c r="K58" s="125">
        <f>I58/SUM($E$11:E58)</f>
        <v>17.680000000000003</v>
      </c>
    </row>
    <row r="59" spans="2:11" x14ac:dyDescent="0.2">
      <c r="B59" s="39"/>
      <c r="C59" s="106"/>
      <c r="D59" s="107"/>
      <c r="E59" s="83"/>
      <c r="F59" s="84"/>
      <c r="G59" s="36"/>
      <c r="H59" s="69"/>
      <c r="I59" s="124">
        <f t="shared" si="2"/>
        <v>17.680000000000003</v>
      </c>
      <c r="J59" s="149"/>
      <c r="K59" s="125">
        <f>I59/SUM($E$11:E59)</f>
        <v>17.680000000000003</v>
      </c>
    </row>
    <row r="60" spans="2:11" x14ac:dyDescent="0.2">
      <c r="B60" s="39"/>
      <c r="C60" s="106"/>
      <c r="D60" s="107"/>
      <c r="E60" s="83"/>
      <c r="F60" s="84"/>
      <c r="G60" s="36"/>
      <c r="H60" s="69"/>
      <c r="I60" s="124">
        <f t="shared" si="2"/>
        <v>17.680000000000003</v>
      </c>
      <c r="J60" s="149"/>
      <c r="K60" s="125">
        <f>I60/SUM($E$11:E60)</f>
        <v>17.680000000000003</v>
      </c>
    </row>
    <row r="61" spans="2:11" x14ac:dyDescent="0.2">
      <c r="B61" s="39"/>
      <c r="C61" s="106"/>
      <c r="D61" s="107"/>
      <c r="E61" s="83"/>
      <c r="F61" s="84"/>
      <c r="G61" s="36"/>
      <c r="H61" s="69"/>
      <c r="I61" s="124">
        <f t="shared" si="2"/>
        <v>17.680000000000003</v>
      </c>
      <c r="J61" s="149"/>
      <c r="K61" s="125">
        <f>I61/SUM($E$11:E61)</f>
        <v>17.680000000000003</v>
      </c>
    </row>
    <row r="62" spans="2:11" x14ac:dyDescent="0.2">
      <c r="B62" s="39"/>
      <c r="C62" s="106"/>
      <c r="D62" s="107"/>
      <c r="E62" s="83"/>
      <c r="F62" s="84"/>
      <c r="G62" s="36"/>
      <c r="H62" s="69"/>
      <c r="I62" s="124">
        <f t="shared" si="2"/>
        <v>17.680000000000003</v>
      </c>
      <c r="J62" s="149"/>
      <c r="K62" s="125">
        <f>I62/SUM($E$11:E62)</f>
        <v>17.680000000000003</v>
      </c>
    </row>
    <row r="63" spans="2:11" ht="4.75" customHeight="1" x14ac:dyDescent="0.2">
      <c r="B63" s="67"/>
      <c r="C63" s="106"/>
      <c r="D63" s="107"/>
      <c r="E63" s="83"/>
      <c r="F63" s="84"/>
      <c r="G63" s="85"/>
      <c r="H63" s="69"/>
      <c r="I63" s="69"/>
      <c r="J63" s="149"/>
      <c r="K63" s="83"/>
    </row>
    <row r="64" spans="2:11" ht="19" x14ac:dyDescent="0.2">
      <c r="B64" s="67"/>
      <c r="C64" s="106"/>
      <c r="D64" s="107"/>
      <c r="E64" s="107"/>
      <c r="F64" s="103"/>
      <c r="G64" s="135">
        <f>SUM(G27:G62)</f>
        <v>0</v>
      </c>
      <c r="H64" s="69"/>
      <c r="I64" s="69"/>
      <c r="J64" s="149"/>
      <c r="K64" s="134"/>
    </row>
    <row r="65" spans="4:4" x14ac:dyDescent="0.2">
      <c r="D65" s="126"/>
    </row>
    <row r="66" spans="4:4" x14ac:dyDescent="0.2">
      <c r="D66" s="126"/>
    </row>
    <row r="67" spans="4:4" x14ac:dyDescent="0.2">
      <c r="D67" s="126"/>
    </row>
    <row r="68" spans="4:4" x14ac:dyDescent="0.2">
      <c r="D68" s="126"/>
    </row>
  </sheetData>
  <mergeCells count="2">
    <mergeCell ref="B1:C1"/>
    <mergeCell ref="B8:G8"/>
  </mergeCells>
  <conditionalFormatting sqref="B27:B62">
    <cfRule type="expression" dxfId="116" priority="1" stopIfTrue="1">
      <formula>J27="ROLL"</formula>
    </cfRule>
    <cfRule type="expression" dxfId="115" priority="2" stopIfTrue="1">
      <formula>AND(ISNUMBER(SEARCH("call", B27)), J27="expired")</formula>
    </cfRule>
    <cfRule type="expression" dxfId="114" priority="3" stopIfTrue="1">
      <formula>AND(ISNUMBER(SEARCH("call", B27)), J27="assigned")</formula>
    </cfRule>
    <cfRule type="expression" dxfId="113" priority="4" stopIfTrue="1">
      <formula>J27="assigned"</formula>
    </cfRule>
    <cfRule type="expression" dxfId="112" priority="5">
      <formula>J27="expired"</formula>
    </cfRule>
  </conditionalFormatting>
  <pageMargins left="0.7" right="0.7" top="0.75" bottom="0.75" header="0.3" footer="0.3"/>
  <pageSetup paperSize="0" orientation="portrait" r:id="rId1"/>
</worksheet>
</file>

<file path=xl/worksheets/sheet4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336A-B1E5-FD4A-B0E2-906491D5B6AA}">
  <sheetPr codeName="Sheet26"/>
  <dimension ref="B1:K98"/>
  <sheetViews>
    <sheetView zoomScale="130" zoomScaleNormal="130" workbookViewId="0">
      <selection activeCell="C26" sqref="C26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customWidth="1"/>
    <col min="4" max="4" width="12.83203125" customWidth="1"/>
    <col min="5" max="5" width="10.83203125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</cols>
  <sheetData>
    <row r="1" spans="2:11" ht="20" x14ac:dyDescent="0.2">
      <c r="B1" s="197" t="s">
        <v>199</v>
      </c>
      <c r="C1" s="197"/>
    </row>
    <row r="2" spans="2:11" x14ac:dyDescent="0.2">
      <c r="B2" s="1"/>
      <c r="C2" s="2"/>
      <c r="D2" s="2"/>
      <c r="E2" s="2"/>
      <c r="F2" s="3"/>
      <c r="G2" s="4"/>
    </row>
    <row r="3" spans="2:11" ht="19" x14ac:dyDescent="0.25">
      <c r="B3" s="5"/>
      <c r="C3" s="6"/>
      <c r="D3" s="6"/>
      <c r="E3" s="6"/>
      <c r="F3" s="7" t="s">
        <v>0</v>
      </c>
      <c r="G3" s="8">
        <f>IF(ISERROR(SUM(G11:G57)/G4),SUM(G11:G57),SUM(G11:G57)/G4)</f>
        <v>13.150000000000004</v>
      </c>
      <c r="H3" t="s">
        <v>1</v>
      </c>
      <c r="J3" s="30">
        <v>39.85</v>
      </c>
      <c r="K3" s="6"/>
    </row>
    <row r="4" spans="2:11" x14ac:dyDescent="0.2">
      <c r="B4" s="1"/>
      <c r="C4" s="2"/>
      <c r="D4" s="2"/>
      <c r="E4" s="2"/>
      <c r="F4" s="3" t="s">
        <v>2</v>
      </c>
      <c r="G4" s="9">
        <f>E98</f>
        <v>1</v>
      </c>
    </row>
    <row r="5" spans="2:11" x14ac:dyDescent="0.2">
      <c r="C5" s="2"/>
      <c r="D5" s="2"/>
      <c r="E5" s="2"/>
      <c r="F5" s="3"/>
      <c r="G5" s="4"/>
    </row>
    <row r="6" spans="2:11" x14ac:dyDescent="0.2">
      <c r="B6" s="15"/>
      <c r="C6" s="17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15"/>
      <c r="C7" s="17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x14ac:dyDescent="0.2">
      <c r="B9" s="12" t="s">
        <v>11</v>
      </c>
      <c r="C9" s="11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12"/>
      <c r="C10" s="11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15" t="s">
        <v>23</v>
      </c>
      <c r="C11" s="58" t="d">
        <v>2024-11-16</v>
      </c>
      <c r="D11" s="53"/>
      <c r="E11" s="17">
        <v>1</v>
      </c>
      <c r="F11" s="21">
        <v>19.54</v>
      </c>
      <c r="G11" s="127">
        <f>E11*F11</f>
        <v>19.54</v>
      </c>
      <c r="H11" s="20"/>
      <c r="I11" s="36">
        <f>G11</f>
        <v>19.54</v>
      </c>
      <c r="J11" s="31"/>
      <c r="K11" s="36">
        <f>I11/E11</f>
        <v>19.54</v>
      </c>
    </row>
    <row r="12" spans="2:11" x14ac:dyDescent="0.2">
      <c r="B12" s="15" t="s">
        <v>24</v>
      </c>
      <c r="C12" s="58" t="d">
        <v>2024-12-20</v>
      </c>
      <c r="D12" s="53"/>
      <c r="E12" s="17"/>
      <c r="F12" s="21"/>
      <c r="G12" s="127">
        <v>-0.65</v>
      </c>
      <c r="H12" s="20"/>
      <c r="I12" s="36">
        <f>I11+G12</f>
        <v>18.89</v>
      </c>
      <c r="J12" s="31"/>
      <c r="K12" s="36">
        <f>I12/SUM($E$11:E12)</f>
        <v>18.89</v>
      </c>
    </row>
    <row r="13" spans="2:11" x14ac:dyDescent="0.2">
      <c r="B13" s="15" t="s">
        <v>24</v>
      </c>
      <c r="C13" s="58" t="d">
        <v>2025-01-17</v>
      </c>
      <c r="D13" s="53"/>
      <c r="E13" s="17"/>
      <c r="F13" s="21"/>
      <c r="G13" s="127">
        <v>-0.63</v>
      </c>
      <c r="H13" s="20"/>
      <c r="I13" s="36">
        <f>I12+G13</f>
        <v>18.260000000000002</v>
      </c>
      <c r="J13" s="31"/>
      <c r="K13" s="36">
        <f>I13/SUM($E$11:E13)</f>
        <v>18.260000000000002</v>
      </c>
    </row>
    <row r="14" spans="2:11" x14ac:dyDescent="0.2">
      <c r="B14" s="15" t="s">
        <v>24</v>
      </c>
      <c r="C14" s="58" t="d">
        <v>2025-02-14</v>
      </c>
      <c r="D14" s="53"/>
      <c r="E14" s="17"/>
      <c r="F14" s="21"/>
      <c r="G14" s="127">
        <v>-0.57999999999999996</v>
      </c>
      <c r="H14" s="20"/>
      <c r="I14" s="36">
        <f t="shared" ref="I14:I20" si="0">I13+G14</f>
        <v>17.680000000000003</v>
      </c>
      <c r="J14" s="31"/>
      <c r="K14" s="36">
        <f>I14/SUM($E$11:E14)</f>
        <v>17.680000000000003</v>
      </c>
    </row>
    <row r="15" spans="2:11" x14ac:dyDescent="0.2">
      <c r="B15" s="15" t="s">
        <v>24</v>
      </c>
      <c r="C15" s="58" t="d">
        <v>2025-03-14</v>
      </c>
      <c r="D15" s="53"/>
      <c r="E15" s="17"/>
      <c r="F15" s="21"/>
      <c r="G15" s="127">
        <v>-0.5</v>
      </c>
      <c r="H15" s="20"/>
      <c r="I15" s="36">
        <f t="shared" si="0"/>
        <v>17.180000000000003</v>
      </c>
      <c r="J15" s="31"/>
      <c r="K15" s="36">
        <f>I15/SUM($E$11:E15)</f>
        <v>17.180000000000003</v>
      </c>
    </row>
    <row r="16" spans="2:11" x14ac:dyDescent="0.2">
      <c r="B16" s="15" t="s">
        <v>24</v>
      </c>
      <c r="C16" s="58" t="d">
        <v>2025-04-11</v>
      </c>
      <c r="D16" s="53"/>
      <c r="E16" s="17"/>
      <c r="F16" s="21"/>
      <c r="G16" s="127">
        <v>-0.44</v>
      </c>
      <c r="H16" s="20"/>
      <c r="I16" s="36">
        <f t="shared" si="0"/>
        <v>16.740000000000002</v>
      </c>
      <c r="J16" s="31"/>
      <c r="K16" s="36">
        <f>I16/SUM($E$11:E16)</f>
        <v>16.740000000000002</v>
      </c>
    </row>
    <row r="17" spans="2:11" x14ac:dyDescent="0.2">
      <c r="B17" s="15" t="s">
        <v>24</v>
      </c>
      <c r="C17" s="58" t="d">
        <v>2025-05-09</v>
      </c>
      <c r="D17" s="53"/>
      <c r="E17" s="17"/>
      <c r="F17" s="21"/>
      <c r="G17" s="127">
        <v>-0.41</v>
      </c>
      <c r="H17" s="20"/>
      <c r="I17" s="36">
        <f t="shared" si="0"/>
        <v>16.330000000000002</v>
      </c>
      <c r="J17" s="31"/>
      <c r="K17" s="36">
        <f>I17/SUM($E$11:E17)</f>
        <v>16.330000000000002</v>
      </c>
    </row>
    <row r="18" spans="2:11" x14ac:dyDescent="0.2">
      <c r="B18" s="15" t="s">
        <v>24</v>
      </c>
      <c r="C18" s="58" t="d">
        <v>2025-06-06</v>
      </c>
      <c r="D18" s="53"/>
      <c r="E18" s="17"/>
      <c r="F18" s="21"/>
      <c r="G18" s="127">
        <v>-0.87</v>
      </c>
      <c r="H18" s="20"/>
      <c r="I18" s="36">
        <f t="shared" si="0"/>
        <v>15.460000000000003</v>
      </c>
      <c r="J18" s="31"/>
      <c r="K18" s="36">
        <f>I18/SUM($E$11:E18)</f>
        <v>15.460000000000003</v>
      </c>
    </row>
    <row r="19" spans="2:11" x14ac:dyDescent="0.2">
      <c r="B19" s="15" t="s">
        <v>24</v>
      </c>
      <c r="C19" s="58" t="d">
        <v>2025-07-07</v>
      </c>
      <c r="D19" s="53"/>
      <c r="E19" s="17"/>
      <c r="F19" s="21"/>
      <c r="G19" s="127">
        <v>-0.44</v>
      </c>
      <c r="H19" s="20"/>
      <c r="I19" s="36">
        <f t="shared" si="0"/>
        <v>15.020000000000003</v>
      </c>
      <c r="J19" s="31"/>
      <c r="K19" s="36">
        <f>I19/SUM($E$11:E19)</f>
        <v>15.020000000000003</v>
      </c>
    </row>
    <row r="20" spans="2:11" x14ac:dyDescent="0.2">
      <c r="B20" s="15" t="s">
        <v>24</v>
      </c>
      <c r="C20" s="58" t="d">
        <v>2025-08-01</v>
      </c>
      <c r="D20" s="53"/>
      <c r="E20" s="17"/>
      <c r="F20" s="21"/>
      <c r="G20" s="127">
        <v>-0.68</v>
      </c>
      <c r="H20" s="20"/>
      <c r="I20" s="36">
        <f t="shared" si="0"/>
        <v>14.340000000000003</v>
      </c>
      <c r="J20" s="31"/>
      <c r="K20" s="36">
        <f>I20/SUM($E$11:E20)</f>
        <v>14.340000000000003</v>
      </c>
    </row>
    <row r="21" spans="2:11" x14ac:dyDescent="0.2">
      <c r="B21" s="15" t="s">
        <v>24</v>
      </c>
      <c r="C21" s="58" t="d">
        <v>2025-08-29</v>
      </c>
      <c r="D21" s="53"/>
      <c r="E21" s="17"/>
      <c r="F21" s="21"/>
      <c r="G21" s="127">
        <v>-0.43</v>
      </c>
      <c r="H21" s="20"/>
      <c r="I21" s="36">
        <f>I7+G21</f>
        <v>-0.43</v>
      </c>
      <c r="J21" s="31"/>
      <c r="K21" s="36">
        <f>I21/SUM($E$11:E21)</f>
        <v>-0.43</v>
      </c>
    </row>
    <row r="22" spans="2:11" x14ac:dyDescent="0.2">
      <c r="B22" s="15" t="s">
        <v>24</v>
      </c>
      <c r="C22" s="58" t="d">
        <v>2025-09-26</v>
      </c>
      <c r="D22" s="53"/>
      <c r="E22" s="17"/>
      <c r="F22" s="21"/>
      <c r="G22" s="127">
        <v>-0.28000000000000003</v>
      </c>
      <c r="H22" s="20"/>
      <c r="I22" s="36"/>
      <c r="J22" s="31"/>
      <c r="K22" s="36"/>
    </row>
    <row r="23" spans="2:11" x14ac:dyDescent="0.2">
      <c r="B23" s="15"/>
      <c r="C23" s="58" t="d">
        <v>2025-10-17</v>
      </c>
      <c r="D23" s="53"/>
      <c r="E23" s="17"/>
      <c r="F23" s="21"/>
      <c r="G23" s="127">
        <v>-0.22</v>
      </c>
      <c r="H23" s="20"/>
      <c r="I23" s="36"/>
      <c r="J23" s="31"/>
      <c r="K23" s="36"/>
    </row>
    <row r="24" spans="2:11" x14ac:dyDescent="0.2">
      <c r="B24" s="15"/>
      <c r="C24" s="58" t="d">
        <v>2025-10-24</v>
      </c>
      <c r="D24" s="53"/>
      <c r="E24" s="17"/>
      <c r="F24" s="21"/>
      <c r="G24" s="127">
        <v>-0.11</v>
      </c>
      <c r="H24" s="20"/>
      <c r="I24" s="36"/>
      <c r="J24" s="31"/>
      <c r="K24" s="36"/>
    </row>
    <row r="25" spans="2:11" x14ac:dyDescent="0.2">
      <c r="B25" s="15"/>
      <c r="C25" s="58" t="d">
        <v>2025-10-31</v>
      </c>
      <c r="D25" s="53"/>
      <c r="E25" s="17"/>
      <c r="F25" s="21"/>
      <c r="G25" s="127">
        <v>-0.15</v>
      </c>
      <c r="H25" s="20"/>
      <c r="I25" s="36"/>
      <c r="J25" s="31"/>
      <c r="K25" s="36"/>
    </row>
    <row r="26" spans="2:11" x14ac:dyDescent="0.2">
      <c r="B26" s="15"/>
      <c r="C26" s="58"/>
      <c r="D26" s="53"/>
      <c r="E26" s="17"/>
      <c r="F26" s="21"/>
      <c r="G26" s="127"/>
      <c r="H26" s="20"/>
      <c r="I26" s="36"/>
      <c r="J26" s="31"/>
      <c r="K26" s="36"/>
    </row>
    <row r="27" spans="2:11" x14ac:dyDescent="0.2">
      <c r="B27" s="15"/>
      <c r="C27" s="58"/>
      <c r="D27" s="53"/>
      <c r="E27" s="17"/>
      <c r="F27" s="21"/>
      <c r="G27" s="127"/>
      <c r="H27" s="20"/>
      <c r="I27" s="36"/>
      <c r="J27" s="31"/>
      <c r="K27" s="36"/>
    </row>
    <row r="28" spans="2:11" x14ac:dyDescent="0.2">
      <c r="B28" s="15"/>
      <c r="C28" s="58"/>
      <c r="D28" s="53"/>
      <c r="E28" s="17"/>
      <c r="F28" s="21"/>
      <c r="G28" s="127"/>
      <c r="H28" s="20"/>
      <c r="I28" s="36"/>
      <c r="J28" s="31"/>
      <c r="K28" s="36"/>
    </row>
    <row r="29" spans="2:11" x14ac:dyDescent="0.2">
      <c r="B29" s="15"/>
      <c r="C29" s="58"/>
      <c r="D29" s="53"/>
      <c r="E29" s="17"/>
      <c r="F29" s="21"/>
      <c r="G29" s="127"/>
      <c r="H29" s="20"/>
      <c r="I29" s="36"/>
      <c r="J29" s="31"/>
      <c r="K29" s="36"/>
    </row>
    <row r="30" spans="2:11" x14ac:dyDescent="0.2">
      <c r="B30" s="15"/>
      <c r="C30" s="58"/>
      <c r="D30" s="53"/>
      <c r="E30" s="17"/>
      <c r="F30" s="21"/>
      <c r="G30" s="127"/>
      <c r="H30" s="20"/>
      <c r="I30" s="36"/>
      <c r="J30" s="31"/>
      <c r="K30" s="36"/>
    </row>
    <row r="31" spans="2:11" x14ac:dyDescent="0.2">
      <c r="B31" s="15"/>
      <c r="C31" s="58"/>
      <c r="D31" s="53"/>
      <c r="E31" s="17"/>
      <c r="F31" s="21"/>
      <c r="G31" s="127"/>
      <c r="H31" s="20"/>
      <c r="I31" s="36"/>
      <c r="J31" s="31"/>
      <c r="K31" s="36"/>
    </row>
    <row r="32" spans="2:11" x14ac:dyDescent="0.2">
      <c r="B32" s="15"/>
      <c r="C32" s="58"/>
      <c r="D32" s="53"/>
      <c r="E32" s="17"/>
      <c r="F32" s="21"/>
      <c r="G32" s="127"/>
      <c r="H32" s="20"/>
      <c r="I32" s="36"/>
      <c r="J32" s="31"/>
      <c r="K32" s="36"/>
    </row>
    <row r="33" spans="2:11" x14ac:dyDescent="0.2">
      <c r="B33" s="15"/>
      <c r="C33" s="58"/>
      <c r="D33" s="53"/>
      <c r="E33" s="17"/>
      <c r="F33" s="21"/>
      <c r="G33" s="127"/>
      <c r="H33" s="20"/>
      <c r="I33" s="36"/>
      <c r="J33" s="31"/>
      <c r="K33" s="36"/>
    </row>
    <row r="34" spans="2:11" x14ac:dyDescent="0.2">
      <c r="B34" s="15"/>
      <c r="C34" s="58"/>
      <c r="D34" s="53"/>
      <c r="E34" s="17"/>
      <c r="F34" s="21"/>
      <c r="G34" s="127"/>
      <c r="H34" s="20"/>
      <c r="I34" s="36"/>
      <c r="J34" s="31"/>
      <c r="K34" s="36"/>
    </row>
    <row r="35" spans="2:11" x14ac:dyDescent="0.2">
      <c r="B35" s="15"/>
      <c r="C35" s="58"/>
      <c r="D35" s="53"/>
      <c r="E35" s="17"/>
      <c r="F35" s="18"/>
      <c r="G35" s="19"/>
      <c r="H35" s="20"/>
      <c r="I35" s="19"/>
      <c r="J35" s="31"/>
      <c r="K35" s="22">
        <f>SUM(G11:G35)/SUM(E11:E35)</f>
        <v>13.150000000000004</v>
      </c>
    </row>
    <row r="36" spans="2:11" ht="6" customHeight="1" x14ac:dyDescent="0.2">
      <c r="B36" s="15"/>
      <c r="C36" s="58"/>
      <c r="D36" s="53"/>
      <c r="E36" s="17"/>
      <c r="F36" s="18"/>
      <c r="G36" s="19"/>
      <c r="H36" s="20"/>
      <c r="I36" s="20"/>
      <c r="J36" s="31"/>
      <c r="K36" s="17"/>
    </row>
    <row r="37" spans="2:11" ht="6.5" customHeight="1" x14ac:dyDescent="0.2">
      <c r="B37" s="15"/>
      <c r="C37" s="58"/>
      <c r="D37" s="53"/>
      <c r="E37" s="17"/>
      <c r="F37" s="18"/>
      <c r="G37" s="19"/>
      <c r="H37" s="20"/>
      <c r="I37" s="20"/>
      <c r="J37" s="31"/>
      <c r="K37" s="17"/>
    </row>
    <row r="38" spans="2:11" x14ac:dyDescent="0.2">
      <c r="B38" s="39"/>
      <c r="C38" s="58"/>
      <c r="D38" s="53"/>
      <c r="E38" s="17"/>
      <c r="F38" s="21"/>
      <c r="G38" s="36">
        <v>0</v>
      </c>
      <c r="H38" s="20"/>
      <c r="I38" s="36">
        <f>I34+G38</f>
        <v>0</v>
      </c>
      <c r="J38" s="31"/>
      <c r="K38" s="36">
        <f>I38/SUM($G$4)</f>
        <v>0</v>
      </c>
    </row>
    <row r="39" spans="2:11" x14ac:dyDescent="0.2">
      <c r="B39" s="39"/>
      <c r="C39" s="58"/>
      <c r="D39" s="53"/>
      <c r="E39" s="17"/>
      <c r="F39" s="21"/>
      <c r="G39" s="36">
        <v>0</v>
      </c>
      <c r="H39" s="17"/>
      <c r="I39" s="36">
        <f>I38+G39</f>
        <v>0</v>
      </c>
      <c r="J39" s="31"/>
      <c r="K39" s="36">
        <f>I39/SUM($E$11:E39)</f>
        <v>0</v>
      </c>
    </row>
    <row r="40" spans="2:11" ht="16" customHeight="1" x14ac:dyDescent="0.2">
      <c r="B40" s="39"/>
      <c r="C40" s="58"/>
      <c r="D40" s="53"/>
      <c r="E40" s="17"/>
      <c r="G40" s="36">
        <v>0</v>
      </c>
      <c r="H40" s="17"/>
      <c r="I40" s="36">
        <f t="shared" ref="I40:I95" si="1">I39+G40</f>
        <v>0</v>
      </c>
      <c r="J40" s="31"/>
      <c r="K40" s="36">
        <f>I40/SUM($E$11:E40)</f>
        <v>0</v>
      </c>
    </row>
    <row r="41" spans="2:11" ht="16" customHeight="1" x14ac:dyDescent="0.2">
      <c r="B41" s="39"/>
      <c r="C41" s="58"/>
      <c r="D41" s="53"/>
      <c r="E41" s="17"/>
      <c r="F41" s="18"/>
      <c r="G41" s="36">
        <v>0</v>
      </c>
      <c r="H41" s="17"/>
      <c r="I41" s="36">
        <f t="shared" si="1"/>
        <v>0</v>
      </c>
      <c r="J41" s="31"/>
      <c r="K41" s="36">
        <f>I41/SUM($E$11:E41)</f>
        <v>0</v>
      </c>
    </row>
    <row r="42" spans="2:11" x14ac:dyDescent="0.2">
      <c r="B42" s="39"/>
      <c r="C42" s="58"/>
      <c r="D42" s="53"/>
      <c r="E42" s="17"/>
      <c r="F42" s="18"/>
      <c r="G42" s="36">
        <v>0</v>
      </c>
      <c r="H42" s="17"/>
      <c r="I42" s="36">
        <f t="shared" si="1"/>
        <v>0</v>
      </c>
      <c r="J42" s="31"/>
      <c r="K42" s="36">
        <f>I42/SUM($E$11:E42)</f>
        <v>0</v>
      </c>
    </row>
    <row r="43" spans="2:11" x14ac:dyDescent="0.2">
      <c r="B43" s="39"/>
      <c r="C43" s="58"/>
      <c r="D43" s="53"/>
      <c r="E43" s="17"/>
      <c r="F43" s="18"/>
      <c r="G43" s="36">
        <v>0</v>
      </c>
      <c r="H43" s="17"/>
      <c r="I43" s="36">
        <f t="shared" si="1"/>
        <v>0</v>
      </c>
      <c r="J43" s="31"/>
      <c r="K43" s="36">
        <f>I43/SUM($E$11:E43)</f>
        <v>0</v>
      </c>
    </row>
    <row r="44" spans="2:11" x14ac:dyDescent="0.2">
      <c r="B44" s="39"/>
      <c r="C44" s="58"/>
      <c r="D44" s="53"/>
      <c r="E44" s="17"/>
      <c r="F44" s="18"/>
      <c r="G44" s="36">
        <v>0</v>
      </c>
      <c r="H44" s="17"/>
      <c r="I44" s="36">
        <f t="shared" si="1"/>
        <v>0</v>
      </c>
      <c r="J44" s="31"/>
      <c r="K44" s="36">
        <f>I44/SUM($E$11:E44)</f>
        <v>0</v>
      </c>
    </row>
    <row r="45" spans="2:11" x14ac:dyDescent="0.2">
      <c r="B45" s="39"/>
      <c r="C45" s="58"/>
      <c r="D45" s="53"/>
      <c r="E45" s="17"/>
      <c r="F45" s="18"/>
      <c r="G45" s="36">
        <v>0</v>
      </c>
      <c r="H45" s="17"/>
      <c r="I45" s="36">
        <f t="shared" si="1"/>
        <v>0</v>
      </c>
      <c r="J45" s="31"/>
      <c r="K45" s="36">
        <f>I45/SUM($E$11:E45)</f>
        <v>0</v>
      </c>
    </row>
    <row r="46" spans="2:11" x14ac:dyDescent="0.2">
      <c r="B46" s="39"/>
      <c r="C46" s="58"/>
      <c r="D46" s="53"/>
      <c r="E46" s="17"/>
      <c r="F46" s="18"/>
      <c r="G46" s="36">
        <v>0</v>
      </c>
      <c r="H46" s="17"/>
      <c r="I46" s="36">
        <f t="shared" si="1"/>
        <v>0</v>
      </c>
      <c r="J46" s="31"/>
      <c r="K46" s="36">
        <f>I46/SUM($E$11:E46)</f>
        <v>0</v>
      </c>
    </row>
    <row r="47" spans="2:11" x14ac:dyDescent="0.2">
      <c r="B47" s="39"/>
      <c r="C47" s="58"/>
      <c r="D47" s="53"/>
      <c r="E47" s="17"/>
      <c r="F47" s="18"/>
      <c r="G47" s="36">
        <v>0</v>
      </c>
      <c r="H47" s="17"/>
      <c r="I47" s="36">
        <f t="shared" si="1"/>
        <v>0</v>
      </c>
      <c r="J47" s="31"/>
      <c r="K47" s="36">
        <f>I47/SUM($E$11:E47)</f>
        <v>0</v>
      </c>
    </row>
    <row r="48" spans="2:11" x14ac:dyDescent="0.2">
      <c r="B48" s="39"/>
      <c r="C48" s="58"/>
      <c r="D48" s="53"/>
      <c r="E48" s="17"/>
      <c r="F48" s="18"/>
      <c r="G48" s="36">
        <v>0</v>
      </c>
      <c r="H48" s="17"/>
      <c r="I48" s="36">
        <f t="shared" si="1"/>
        <v>0</v>
      </c>
      <c r="J48" s="31"/>
      <c r="K48" s="36">
        <f>I48/SUM($E$11:E48)</f>
        <v>0</v>
      </c>
    </row>
    <row r="49" spans="2:11" x14ac:dyDescent="0.2">
      <c r="B49" s="39"/>
      <c r="C49" s="58"/>
      <c r="D49" s="53"/>
      <c r="E49" s="17"/>
      <c r="F49" s="18"/>
      <c r="G49" s="36">
        <v>0</v>
      </c>
      <c r="H49" s="17"/>
      <c r="I49" s="36">
        <f t="shared" si="1"/>
        <v>0</v>
      </c>
      <c r="J49" s="31"/>
      <c r="K49" s="36">
        <f>I49/SUM($E$11:E49)</f>
        <v>0</v>
      </c>
    </row>
    <row r="50" spans="2:11" x14ac:dyDescent="0.2">
      <c r="B50" s="39"/>
      <c r="C50" s="58"/>
      <c r="D50" s="53"/>
      <c r="E50" s="17"/>
      <c r="F50" s="18"/>
      <c r="G50" s="36">
        <v>0</v>
      </c>
      <c r="H50" s="17"/>
      <c r="I50" s="36">
        <f t="shared" si="1"/>
        <v>0</v>
      </c>
      <c r="J50" s="31"/>
      <c r="K50" s="36">
        <f>I50/SUM($E$11:E50)</f>
        <v>0</v>
      </c>
    </row>
    <row r="51" spans="2:11" x14ac:dyDescent="0.2">
      <c r="B51" s="39"/>
      <c r="C51" s="58"/>
      <c r="D51" s="53"/>
      <c r="E51" s="17"/>
      <c r="F51" s="18"/>
      <c r="G51" s="36">
        <v>0</v>
      </c>
      <c r="H51" s="17"/>
      <c r="I51" s="36">
        <f t="shared" si="1"/>
        <v>0</v>
      </c>
      <c r="J51" s="31"/>
      <c r="K51" s="36">
        <f>I51/SUM($E$11:E51)</f>
        <v>0</v>
      </c>
    </row>
    <row r="52" spans="2:11" x14ac:dyDescent="0.2">
      <c r="B52" s="39"/>
      <c r="C52" s="58"/>
      <c r="D52" s="53"/>
      <c r="E52" s="17"/>
      <c r="F52" s="18"/>
      <c r="G52" s="36">
        <v>0</v>
      </c>
      <c r="H52" s="17"/>
      <c r="I52" s="36">
        <f t="shared" si="1"/>
        <v>0</v>
      </c>
      <c r="J52" s="31"/>
      <c r="K52" s="36">
        <f>I52/SUM($E$11:E52)</f>
        <v>0</v>
      </c>
    </row>
    <row r="53" spans="2:11" x14ac:dyDescent="0.2">
      <c r="B53" s="39"/>
      <c r="C53" s="58"/>
      <c r="D53" s="53"/>
      <c r="E53" s="17"/>
      <c r="F53" s="18"/>
      <c r="G53" s="36">
        <v>0</v>
      </c>
      <c r="H53" s="17"/>
      <c r="I53" s="36">
        <f t="shared" si="1"/>
        <v>0</v>
      </c>
      <c r="J53" s="31"/>
      <c r="K53" s="36">
        <f>I53/SUM($E$11:E53)</f>
        <v>0</v>
      </c>
    </row>
    <row r="54" spans="2:11" x14ac:dyDescent="0.2">
      <c r="B54" s="39"/>
      <c r="C54" s="58"/>
      <c r="D54" s="16"/>
      <c r="E54" s="17"/>
      <c r="F54" s="18"/>
      <c r="G54" s="36">
        <v>0</v>
      </c>
      <c r="H54" s="17"/>
      <c r="I54" s="36">
        <f t="shared" si="1"/>
        <v>0</v>
      </c>
      <c r="J54" s="31"/>
      <c r="K54" s="36">
        <f>I54/SUM($E$11:E54)</f>
        <v>0</v>
      </c>
    </row>
    <row r="55" spans="2:11" x14ac:dyDescent="0.2">
      <c r="B55" s="39"/>
      <c r="C55" s="58"/>
      <c r="D55" s="16"/>
      <c r="E55" s="17"/>
      <c r="F55" s="18"/>
      <c r="G55" s="36">
        <v>0</v>
      </c>
      <c r="H55" s="17"/>
      <c r="I55" s="36">
        <f t="shared" si="1"/>
        <v>0</v>
      </c>
      <c r="J55" s="31"/>
      <c r="K55" s="36">
        <f>I55/SUM($E$11:E55)</f>
        <v>0</v>
      </c>
    </row>
    <row r="56" spans="2:11" x14ac:dyDescent="0.2">
      <c r="B56" s="68"/>
      <c r="C56" s="58"/>
      <c r="D56" s="16"/>
      <c r="E56" s="17"/>
      <c r="F56" s="18"/>
      <c r="G56" s="36">
        <v>0</v>
      </c>
      <c r="H56" s="17"/>
      <c r="I56" s="36">
        <f t="shared" si="1"/>
        <v>0</v>
      </c>
      <c r="J56" s="31"/>
      <c r="K56" s="36">
        <f>I56/SUM($E$11:E56)</f>
        <v>0</v>
      </c>
    </row>
    <row r="57" spans="2:11" x14ac:dyDescent="0.2">
      <c r="B57" s="68"/>
      <c r="C57" s="58"/>
      <c r="D57" s="16"/>
      <c r="E57" s="17"/>
      <c r="F57" s="18"/>
      <c r="G57" s="36">
        <v>0</v>
      </c>
      <c r="H57" s="20"/>
      <c r="I57" s="36">
        <f t="shared" si="1"/>
        <v>0</v>
      </c>
      <c r="J57" s="31"/>
      <c r="K57" s="36">
        <f>I57/SUM($E$11:E57)</f>
        <v>0</v>
      </c>
    </row>
    <row r="58" spans="2:11" x14ac:dyDescent="0.2">
      <c r="B58" s="68"/>
      <c r="C58" s="58"/>
      <c r="D58" s="16"/>
      <c r="E58" s="17"/>
      <c r="F58" s="18"/>
      <c r="G58" s="36">
        <v>0</v>
      </c>
      <c r="H58" s="20"/>
      <c r="I58" s="36">
        <f t="shared" si="1"/>
        <v>0</v>
      </c>
      <c r="J58" s="31"/>
      <c r="K58" s="36">
        <f>I58/SUM($E$11:E58)</f>
        <v>0</v>
      </c>
    </row>
    <row r="59" spans="2:11" x14ac:dyDescent="0.2">
      <c r="B59" s="68"/>
      <c r="C59" s="58"/>
      <c r="D59" s="16"/>
      <c r="E59" s="17"/>
      <c r="F59" s="18"/>
      <c r="G59" s="36">
        <v>0</v>
      </c>
      <c r="H59" s="20"/>
      <c r="I59" s="36">
        <f t="shared" si="1"/>
        <v>0</v>
      </c>
      <c r="J59" s="31"/>
      <c r="K59" s="36">
        <f>I59/SUM($E$11:E59)</f>
        <v>0</v>
      </c>
    </row>
    <row r="60" spans="2:11" x14ac:dyDescent="0.2">
      <c r="B60" s="68"/>
      <c r="C60" s="58"/>
      <c r="D60" s="16"/>
      <c r="E60" s="17"/>
      <c r="F60" s="18"/>
      <c r="G60" s="36">
        <v>0</v>
      </c>
      <c r="H60" s="20"/>
      <c r="I60" s="36">
        <f t="shared" si="1"/>
        <v>0</v>
      </c>
      <c r="J60" s="31"/>
      <c r="K60" s="36">
        <f>I60/SUM($E$11:E60)</f>
        <v>0</v>
      </c>
    </row>
    <row r="61" spans="2:11" x14ac:dyDescent="0.2">
      <c r="B61" s="68"/>
      <c r="C61" s="58"/>
      <c r="D61" s="16"/>
      <c r="E61" s="17"/>
      <c r="F61" s="18"/>
      <c r="G61" s="36">
        <v>0</v>
      </c>
      <c r="H61" s="20"/>
      <c r="I61" s="36">
        <f t="shared" si="1"/>
        <v>0</v>
      </c>
      <c r="J61" s="31"/>
      <c r="K61" s="36">
        <f>I61/SUM($E$11:E61)</f>
        <v>0</v>
      </c>
    </row>
    <row r="62" spans="2:11" x14ac:dyDescent="0.2">
      <c r="B62" s="68"/>
      <c r="C62" s="58"/>
      <c r="D62" s="16"/>
      <c r="E62" s="17"/>
      <c r="F62" s="18"/>
      <c r="G62" s="36">
        <v>0</v>
      </c>
      <c r="H62" s="20"/>
      <c r="I62" s="36">
        <f t="shared" si="1"/>
        <v>0</v>
      </c>
      <c r="J62" s="31"/>
      <c r="K62" s="36">
        <f>I62/SUM($E$11:E62)</f>
        <v>0</v>
      </c>
    </row>
    <row r="63" spans="2:11" x14ac:dyDescent="0.2">
      <c r="B63" s="68"/>
      <c r="C63" s="58"/>
      <c r="D63" s="16"/>
      <c r="E63" s="17"/>
      <c r="F63" s="18"/>
      <c r="G63" s="36">
        <v>0</v>
      </c>
      <c r="H63" s="20"/>
      <c r="I63" s="36">
        <f t="shared" si="1"/>
        <v>0</v>
      </c>
      <c r="J63" s="31"/>
      <c r="K63" s="36">
        <f>I63/SUM($E$11:E63)</f>
        <v>0</v>
      </c>
    </row>
    <row r="64" spans="2:11" x14ac:dyDescent="0.2">
      <c r="B64" s="68"/>
      <c r="C64" s="58"/>
      <c r="D64" s="16"/>
      <c r="E64" s="17"/>
      <c r="F64" s="18"/>
      <c r="G64" s="36">
        <v>0</v>
      </c>
      <c r="H64" s="20"/>
      <c r="I64" s="36">
        <f t="shared" si="1"/>
        <v>0</v>
      </c>
      <c r="J64" s="31"/>
      <c r="K64" s="36">
        <f>I64/SUM($E$11:E64)</f>
        <v>0</v>
      </c>
    </row>
    <row r="65" spans="2:11" x14ac:dyDescent="0.2">
      <c r="B65" s="68"/>
      <c r="C65" s="58"/>
      <c r="D65" s="16"/>
      <c r="E65" s="17"/>
      <c r="F65" s="18"/>
      <c r="G65" s="36">
        <v>0</v>
      </c>
      <c r="H65" s="20"/>
      <c r="I65" s="36">
        <f t="shared" si="1"/>
        <v>0</v>
      </c>
      <c r="J65" s="31"/>
      <c r="K65" s="36">
        <f>I65/SUM($E$11:E65)</f>
        <v>0</v>
      </c>
    </row>
    <row r="66" spans="2:11" x14ac:dyDescent="0.2">
      <c r="B66" s="68"/>
      <c r="C66" s="58"/>
      <c r="D66" s="16"/>
      <c r="E66" s="17"/>
      <c r="F66" s="18"/>
      <c r="G66" s="36">
        <v>0</v>
      </c>
      <c r="H66" s="20"/>
      <c r="I66" s="36">
        <f t="shared" si="1"/>
        <v>0</v>
      </c>
      <c r="J66" s="31"/>
      <c r="K66" s="36">
        <f>I66/SUM($E$11:E66)</f>
        <v>0</v>
      </c>
    </row>
    <row r="67" spans="2:11" x14ac:dyDescent="0.2">
      <c r="B67" s="68"/>
      <c r="C67" s="58"/>
      <c r="D67" s="16"/>
      <c r="E67" s="17"/>
      <c r="F67" s="18"/>
      <c r="G67" s="36">
        <v>0</v>
      </c>
      <c r="H67" s="20"/>
      <c r="I67" s="36">
        <f t="shared" si="1"/>
        <v>0</v>
      </c>
      <c r="J67" s="31"/>
      <c r="K67" s="36">
        <f>I67/SUM($E$11:E67)</f>
        <v>0</v>
      </c>
    </row>
    <row r="68" spans="2:11" x14ac:dyDescent="0.2">
      <c r="B68" s="68"/>
      <c r="C68" s="58"/>
      <c r="D68" s="16"/>
      <c r="E68" s="17"/>
      <c r="F68" s="18"/>
      <c r="G68" s="36">
        <v>0</v>
      </c>
      <c r="H68" s="20"/>
      <c r="I68" s="36">
        <f t="shared" si="1"/>
        <v>0</v>
      </c>
      <c r="J68" s="31"/>
      <c r="K68" s="36">
        <f>I68/SUM($E$11:E68)</f>
        <v>0</v>
      </c>
    </row>
    <row r="69" spans="2:11" x14ac:dyDescent="0.2">
      <c r="B69" s="68"/>
      <c r="C69" s="58"/>
      <c r="D69" s="16"/>
      <c r="E69" s="17"/>
      <c r="F69" s="18"/>
      <c r="G69" s="36">
        <v>0</v>
      </c>
      <c r="H69" s="20"/>
      <c r="I69" s="36">
        <f t="shared" si="1"/>
        <v>0</v>
      </c>
      <c r="J69" s="31"/>
      <c r="K69" s="36">
        <f>I69/SUM($E$11:E69)</f>
        <v>0</v>
      </c>
    </row>
    <row r="70" spans="2:11" x14ac:dyDescent="0.2">
      <c r="B70" s="68"/>
      <c r="C70" s="58"/>
      <c r="D70" s="16"/>
      <c r="E70" s="17"/>
      <c r="F70" s="18"/>
      <c r="G70" s="36">
        <v>0</v>
      </c>
      <c r="H70" s="20"/>
      <c r="I70" s="36">
        <f t="shared" si="1"/>
        <v>0</v>
      </c>
      <c r="J70" s="31"/>
      <c r="K70" s="36">
        <f>I70/SUM($E$11:E70)</f>
        <v>0</v>
      </c>
    </row>
    <row r="71" spans="2:11" x14ac:dyDescent="0.2">
      <c r="B71" s="68"/>
      <c r="C71" s="58"/>
      <c r="D71" s="16"/>
      <c r="E71" s="17"/>
      <c r="F71" s="18"/>
      <c r="G71" s="36">
        <v>0</v>
      </c>
      <c r="H71" s="20"/>
      <c r="I71" s="36">
        <f t="shared" si="1"/>
        <v>0</v>
      </c>
      <c r="J71" s="31"/>
      <c r="K71" s="36">
        <f>I71/SUM($E$11:E71)</f>
        <v>0</v>
      </c>
    </row>
    <row r="72" spans="2:11" x14ac:dyDescent="0.2">
      <c r="B72" s="68"/>
      <c r="C72" s="58"/>
      <c r="D72" s="16"/>
      <c r="E72" s="17"/>
      <c r="F72" s="18"/>
      <c r="G72" s="36">
        <v>0</v>
      </c>
      <c r="H72" s="20"/>
      <c r="I72" s="36">
        <f t="shared" si="1"/>
        <v>0</v>
      </c>
      <c r="J72" s="31"/>
      <c r="K72" s="36">
        <f>I72/SUM($E$11:E72)</f>
        <v>0</v>
      </c>
    </row>
    <row r="73" spans="2:11" x14ac:dyDescent="0.2">
      <c r="B73" s="68"/>
      <c r="C73" s="58"/>
      <c r="D73" s="16"/>
      <c r="E73" s="17"/>
      <c r="F73" s="18"/>
      <c r="G73" s="36">
        <v>0</v>
      </c>
      <c r="H73" s="20"/>
      <c r="I73" s="36">
        <f t="shared" si="1"/>
        <v>0</v>
      </c>
      <c r="J73" s="31"/>
      <c r="K73" s="36">
        <f>I73/SUM($E$11:E73)</f>
        <v>0</v>
      </c>
    </row>
    <row r="74" spans="2:11" x14ac:dyDescent="0.2">
      <c r="B74" s="68"/>
      <c r="C74" s="58"/>
      <c r="D74" s="16"/>
      <c r="E74" s="17"/>
      <c r="F74" s="18"/>
      <c r="G74" s="36">
        <v>0</v>
      </c>
      <c r="H74" s="20"/>
      <c r="I74" s="36">
        <f t="shared" si="1"/>
        <v>0</v>
      </c>
      <c r="J74" s="31"/>
      <c r="K74" s="36">
        <f>I74/SUM($E$11:E74)</f>
        <v>0</v>
      </c>
    </row>
    <row r="75" spans="2:11" x14ac:dyDescent="0.2">
      <c r="B75" s="68"/>
      <c r="C75" s="58"/>
      <c r="D75" s="16"/>
      <c r="E75" s="17"/>
      <c r="F75" s="18"/>
      <c r="G75" s="36">
        <v>0</v>
      </c>
      <c r="H75" s="20"/>
      <c r="I75" s="36">
        <f t="shared" si="1"/>
        <v>0</v>
      </c>
      <c r="J75" s="31"/>
      <c r="K75" s="36">
        <f>I75/SUM($E$11:E75)</f>
        <v>0</v>
      </c>
    </row>
    <row r="76" spans="2:11" x14ac:dyDescent="0.2">
      <c r="B76" s="68"/>
      <c r="C76" s="58"/>
      <c r="D76" s="16"/>
      <c r="E76" s="17"/>
      <c r="F76" s="18"/>
      <c r="G76" s="36">
        <v>0</v>
      </c>
      <c r="H76" s="20"/>
      <c r="I76" s="36">
        <f t="shared" si="1"/>
        <v>0</v>
      </c>
      <c r="J76" s="31"/>
      <c r="K76" s="36">
        <f>I76/SUM($E$11:E76)</f>
        <v>0</v>
      </c>
    </row>
    <row r="77" spans="2:11" x14ac:dyDescent="0.2">
      <c r="B77" s="68"/>
      <c r="C77" s="58"/>
      <c r="D77" s="16"/>
      <c r="E77" s="17"/>
      <c r="F77" s="18"/>
      <c r="G77" s="36">
        <v>0</v>
      </c>
      <c r="H77" s="20"/>
      <c r="I77" s="36">
        <f t="shared" si="1"/>
        <v>0</v>
      </c>
      <c r="J77" s="31"/>
      <c r="K77" s="36">
        <f>I77/SUM($E$11:E77)</f>
        <v>0</v>
      </c>
    </row>
    <row r="78" spans="2:11" x14ac:dyDescent="0.2">
      <c r="B78" s="68"/>
      <c r="C78" s="58"/>
      <c r="D78" s="16"/>
      <c r="E78" s="17"/>
      <c r="F78" s="18"/>
      <c r="G78" s="36">
        <v>0</v>
      </c>
      <c r="H78" s="20"/>
      <c r="I78" s="36">
        <f t="shared" si="1"/>
        <v>0</v>
      </c>
      <c r="J78" s="31"/>
      <c r="K78" s="36">
        <f>I78/SUM($E$11:E78)</f>
        <v>0</v>
      </c>
    </row>
    <row r="79" spans="2:11" x14ac:dyDescent="0.2">
      <c r="B79" s="68"/>
      <c r="C79" s="58"/>
      <c r="D79" s="16"/>
      <c r="E79" s="17"/>
      <c r="F79" s="18"/>
      <c r="G79" s="36">
        <v>0</v>
      </c>
      <c r="H79" s="20"/>
      <c r="I79" s="36">
        <f t="shared" si="1"/>
        <v>0</v>
      </c>
      <c r="J79" s="31"/>
      <c r="K79" s="36">
        <f>I79/SUM($E$11:E79)</f>
        <v>0</v>
      </c>
    </row>
    <row r="80" spans="2:11" x14ac:dyDescent="0.2">
      <c r="B80" s="68"/>
      <c r="C80" s="58"/>
      <c r="D80" s="16"/>
      <c r="E80" s="17"/>
      <c r="F80" s="18"/>
      <c r="G80" s="36">
        <v>0</v>
      </c>
      <c r="H80" s="20"/>
      <c r="I80" s="36">
        <f t="shared" si="1"/>
        <v>0</v>
      </c>
      <c r="J80" s="31"/>
      <c r="K80" s="36">
        <f>I80/SUM($E$11:E80)</f>
        <v>0</v>
      </c>
    </row>
    <row r="81" spans="2:11" x14ac:dyDescent="0.2">
      <c r="B81" s="68"/>
      <c r="C81" s="58"/>
      <c r="D81" s="16"/>
      <c r="E81" s="17"/>
      <c r="F81" s="18"/>
      <c r="G81" s="36">
        <v>0</v>
      </c>
      <c r="H81" s="20"/>
      <c r="I81" s="36">
        <f t="shared" si="1"/>
        <v>0</v>
      </c>
      <c r="J81" s="31"/>
      <c r="K81" s="36">
        <f>I81/SUM($E$11:E81)</f>
        <v>0</v>
      </c>
    </row>
    <row r="82" spans="2:11" x14ac:dyDescent="0.2">
      <c r="B82" s="68"/>
      <c r="C82" s="58"/>
      <c r="D82" s="16"/>
      <c r="E82" s="17"/>
      <c r="F82" s="18"/>
      <c r="G82" s="36">
        <v>0</v>
      </c>
      <c r="H82" s="20"/>
      <c r="I82" s="36">
        <f t="shared" si="1"/>
        <v>0</v>
      </c>
      <c r="J82" s="31"/>
      <c r="K82" s="36">
        <f>I82/SUM($E$11:E82)</f>
        <v>0</v>
      </c>
    </row>
    <row r="83" spans="2:11" x14ac:dyDescent="0.2">
      <c r="B83" s="68"/>
      <c r="C83" s="58"/>
      <c r="D83" s="16"/>
      <c r="E83" s="17"/>
      <c r="F83" s="18"/>
      <c r="G83" s="36">
        <v>0</v>
      </c>
      <c r="H83" s="20"/>
      <c r="I83" s="36">
        <f t="shared" si="1"/>
        <v>0</v>
      </c>
      <c r="J83" s="31"/>
      <c r="K83" s="36">
        <f>I83/SUM($E$11:E83)</f>
        <v>0</v>
      </c>
    </row>
    <row r="84" spans="2:11" x14ac:dyDescent="0.2">
      <c r="B84" s="68"/>
      <c r="C84" s="58"/>
      <c r="D84" s="16"/>
      <c r="E84" s="17"/>
      <c r="F84" s="18"/>
      <c r="G84" s="36">
        <v>0</v>
      </c>
      <c r="H84" s="20"/>
      <c r="I84" s="36">
        <f t="shared" si="1"/>
        <v>0</v>
      </c>
      <c r="J84" s="31"/>
      <c r="K84" s="36">
        <f>I84/SUM($E$11:E84)</f>
        <v>0</v>
      </c>
    </row>
    <row r="85" spans="2:11" x14ac:dyDescent="0.2">
      <c r="B85" s="68"/>
      <c r="C85" s="58"/>
      <c r="D85" s="16"/>
      <c r="E85" s="17"/>
      <c r="F85" s="18"/>
      <c r="G85" s="36">
        <v>0</v>
      </c>
      <c r="H85" s="20"/>
      <c r="I85" s="36">
        <f t="shared" si="1"/>
        <v>0</v>
      </c>
      <c r="J85" s="31"/>
      <c r="K85" s="36">
        <f>I85/SUM($E$11:E85)</f>
        <v>0</v>
      </c>
    </row>
    <row r="86" spans="2:11" x14ac:dyDescent="0.2">
      <c r="B86" s="68"/>
      <c r="C86" s="58"/>
      <c r="D86" s="16"/>
      <c r="E86" s="17"/>
      <c r="F86" s="18"/>
      <c r="G86" s="36">
        <v>0</v>
      </c>
      <c r="H86" s="20"/>
      <c r="I86" s="36">
        <f t="shared" si="1"/>
        <v>0</v>
      </c>
      <c r="J86" s="31"/>
      <c r="K86" s="36">
        <f>I86/SUM($E$11:E86)</f>
        <v>0</v>
      </c>
    </row>
    <row r="87" spans="2:11" x14ac:dyDescent="0.2">
      <c r="B87" s="68"/>
      <c r="C87" s="58"/>
      <c r="D87" s="16"/>
      <c r="E87" s="17"/>
      <c r="F87" s="18"/>
      <c r="G87" s="36">
        <v>0</v>
      </c>
      <c r="H87" s="20"/>
      <c r="I87" s="36">
        <f t="shared" si="1"/>
        <v>0</v>
      </c>
      <c r="J87" s="31"/>
      <c r="K87" s="36">
        <f>I87/SUM($E$11:E87)</f>
        <v>0</v>
      </c>
    </row>
    <row r="88" spans="2:11" x14ac:dyDescent="0.2">
      <c r="B88" s="68"/>
      <c r="C88" s="58"/>
      <c r="D88" s="16"/>
      <c r="E88" s="17"/>
      <c r="F88" s="18"/>
      <c r="G88" s="36">
        <v>0</v>
      </c>
      <c r="H88" s="20"/>
      <c r="I88" s="36">
        <f t="shared" si="1"/>
        <v>0</v>
      </c>
      <c r="J88" s="31"/>
      <c r="K88" s="36">
        <f>I88/SUM($E$11:E88)</f>
        <v>0</v>
      </c>
    </row>
    <row r="89" spans="2:11" x14ac:dyDescent="0.2">
      <c r="B89" s="68"/>
      <c r="C89" s="58"/>
      <c r="D89" s="16"/>
      <c r="E89" s="17"/>
      <c r="F89" s="18"/>
      <c r="G89" s="36">
        <v>0</v>
      </c>
      <c r="H89" s="20"/>
      <c r="I89" s="36">
        <f t="shared" si="1"/>
        <v>0</v>
      </c>
      <c r="J89" s="31"/>
      <c r="K89" s="36">
        <f>I89/SUM($E$11:E89)</f>
        <v>0</v>
      </c>
    </row>
    <row r="90" spans="2:11" x14ac:dyDescent="0.2">
      <c r="B90" s="68"/>
      <c r="C90" s="58"/>
      <c r="D90" s="16"/>
      <c r="E90" s="17"/>
      <c r="F90" s="18"/>
      <c r="G90" s="36">
        <v>0</v>
      </c>
      <c r="H90" s="20"/>
      <c r="I90" s="36">
        <f t="shared" si="1"/>
        <v>0</v>
      </c>
      <c r="J90" s="31"/>
      <c r="K90" s="36">
        <f>I90/SUM($E$11:E90)</f>
        <v>0</v>
      </c>
    </row>
    <row r="91" spans="2:11" x14ac:dyDescent="0.2">
      <c r="B91" s="68"/>
      <c r="C91" s="58"/>
      <c r="D91" s="16"/>
      <c r="E91" s="17"/>
      <c r="F91" s="18"/>
      <c r="G91" s="36">
        <v>0</v>
      </c>
      <c r="H91" s="20"/>
      <c r="I91" s="36">
        <f t="shared" si="1"/>
        <v>0</v>
      </c>
      <c r="J91" s="31"/>
      <c r="K91" s="36">
        <f>I91/SUM($E$11:E91)</f>
        <v>0</v>
      </c>
    </row>
    <row r="92" spans="2:11" x14ac:dyDescent="0.2">
      <c r="B92" s="68"/>
      <c r="C92" s="58"/>
      <c r="D92" s="16"/>
      <c r="E92" s="17"/>
      <c r="F92" s="18"/>
      <c r="G92" s="36">
        <v>0</v>
      </c>
      <c r="H92" s="20"/>
      <c r="I92" s="36">
        <f t="shared" si="1"/>
        <v>0</v>
      </c>
      <c r="J92" s="31"/>
      <c r="K92" s="36">
        <f>I92/SUM($E$11:E92)</f>
        <v>0</v>
      </c>
    </row>
    <row r="93" spans="2:11" x14ac:dyDescent="0.2">
      <c r="B93" s="68"/>
      <c r="C93" s="58"/>
      <c r="D93" s="16"/>
      <c r="E93" s="17"/>
      <c r="F93" s="18"/>
      <c r="G93" s="36">
        <v>0</v>
      </c>
      <c r="H93" s="20"/>
      <c r="I93" s="36">
        <f t="shared" si="1"/>
        <v>0</v>
      </c>
      <c r="J93" s="31"/>
      <c r="K93" s="36">
        <f>I93/SUM($E$11:E93)</f>
        <v>0</v>
      </c>
    </row>
    <row r="94" spans="2:11" x14ac:dyDescent="0.2">
      <c r="B94" s="68"/>
      <c r="C94" s="58"/>
      <c r="D94" s="16"/>
      <c r="E94" s="17"/>
      <c r="F94" s="18"/>
      <c r="G94" s="36">
        <v>0</v>
      </c>
      <c r="H94" s="20"/>
      <c r="I94" s="36">
        <f t="shared" si="1"/>
        <v>0</v>
      </c>
      <c r="J94" s="31"/>
      <c r="K94" s="36">
        <f>I94/SUM($E$11:E94)</f>
        <v>0</v>
      </c>
    </row>
    <row r="95" spans="2:11" x14ac:dyDescent="0.2">
      <c r="B95" s="68"/>
      <c r="C95" s="16"/>
      <c r="D95" s="16"/>
      <c r="E95" s="17"/>
      <c r="F95" s="18"/>
      <c r="G95" s="36">
        <v>0</v>
      </c>
      <c r="H95" s="20"/>
      <c r="I95" s="36">
        <f t="shared" si="1"/>
        <v>0</v>
      </c>
      <c r="J95" s="31"/>
      <c r="K95" s="36">
        <f>I95/SUM($E$11:E95)</f>
        <v>0</v>
      </c>
    </row>
    <row r="96" spans="2:11" x14ac:dyDescent="0.2">
      <c r="B96" s="68"/>
      <c r="C96" s="16"/>
      <c r="D96" s="16"/>
      <c r="E96" s="17"/>
      <c r="F96" s="18"/>
      <c r="G96" s="127"/>
      <c r="H96" s="20"/>
      <c r="I96" s="19"/>
      <c r="J96" s="31"/>
      <c r="K96" s="22">
        <f>I96/3400</f>
        <v>0</v>
      </c>
    </row>
    <row r="97" spans="2:11" ht="4.75" customHeight="1" x14ac:dyDescent="0.2">
      <c r="B97" s="15"/>
      <c r="C97" s="17"/>
      <c r="D97" s="17"/>
      <c r="E97" s="17"/>
      <c r="F97" s="18"/>
      <c r="G97" s="19"/>
      <c r="H97" s="20"/>
      <c r="I97" s="20"/>
      <c r="J97" s="31"/>
      <c r="K97" s="17"/>
    </row>
    <row r="98" spans="2:11" ht="23" customHeight="1" x14ac:dyDescent="0.25">
      <c r="B98" s="15"/>
      <c r="C98" s="17"/>
      <c r="D98" s="17"/>
      <c r="E98" s="23">
        <f>SUM(E11:E96)</f>
        <v>1</v>
      </c>
      <c r="F98" s="24"/>
      <c r="G98" s="25">
        <f>SUM(G38:G96)</f>
        <v>0</v>
      </c>
      <c r="H98" s="20"/>
      <c r="I98" s="20"/>
      <c r="J98" s="31"/>
      <c r="K98" s="17"/>
    </row>
  </sheetData>
  <mergeCells count="2">
    <mergeCell ref="B8:G8"/>
    <mergeCell ref="B1:C1"/>
  </mergeCells>
  <conditionalFormatting sqref="B38:B55">
    <cfRule type="expression" dxfId="111" priority="1">
      <formula>AND(ISNUMBER(SEARCH("call", B38)), J38="expired")</formula>
    </cfRule>
    <cfRule type="expression" dxfId="110" priority="2">
      <formula>AND(ISNUMBER(SEARCH("call", B38)), J38="assigned")</formula>
    </cfRule>
    <cfRule type="expression" dxfId="109" priority="3">
      <formula>J38="assigned"</formula>
    </cfRule>
    <cfRule type="expression" dxfId="108" priority="4">
      <formula>J38="expired"</formula>
    </cfRule>
  </conditionalFormatting>
  <pageMargins left="0.7" right="0.7" top="0.75" bottom="0.75" header="0.3" footer="0.3"/>
  <pageSetup paperSize="0" orientation="portrait" r:id="rId1"/>
</worksheet>
</file>

<file path=xl/worksheets/sheet4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F738-13C7-6B4E-AF80-ADD5ED1CD2F7}">
  <sheetPr codeName="Sheet56"/>
  <dimension ref="B1:N79"/>
  <sheetViews>
    <sheetView topLeftCell="A2" zoomScale="120" zoomScaleNormal="120" workbookViewId="0">
      <selection activeCell="F45" sqref="F45"/>
    </sheetView>
  </sheetViews>
  <sheetFormatPr baseColWidth="10" defaultColWidth="8.83203125" defaultRowHeight="15" x14ac:dyDescent="0.2"/>
  <cols>
    <col min="1" max="1" width="6" customWidth="1"/>
    <col min="2" max="2" width="40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469</v>
      </c>
      <c r="C1" s="197"/>
    </row>
    <row r="2" spans="2:14" x14ac:dyDescent="0.2">
      <c r="B2" s="1" t="s">
        <v>470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-63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/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/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20" customHeight="1" x14ac:dyDescent="0.2">
      <c r="B41" s="39" t="s">
        <v>489</v>
      </c>
      <c r="C41" s="58" t="d">
        <v>2025-05-13</v>
      </c>
      <c r="D41" s="16"/>
      <c r="E41" s="155"/>
      <c r="F41" s="21"/>
      <c r="G41" s="36">
        <v>-63</v>
      </c>
      <c r="H41" s="20"/>
      <c r="I41" s="36">
        <f>I13+G41</f>
        <v>-63</v>
      </c>
      <c r="J41" s="31"/>
      <c r="K41" s="36" t="e">
        <f>I41/SUM($E$11:E41)</f>
        <v>#DIV/0!</v>
      </c>
    </row>
    <row r="42" spans="2:11" x14ac:dyDescent="0.2">
      <c r="B42" s="39"/>
      <c r="C42" s="58"/>
      <c r="D42" s="16"/>
      <c r="E42" s="155"/>
      <c r="F42" s="21"/>
      <c r="G42" s="36">
        <v>0</v>
      </c>
      <c r="H42" s="17"/>
      <c r="I42" s="36">
        <f t="shared" ref="I42:I76" si="2">I41+G42</f>
        <v>-63</v>
      </c>
      <c r="J42" s="31"/>
      <c r="K42" s="36" t="e">
        <f>I42/SUM($E$11:E42)</f>
        <v>#DIV/0!</v>
      </c>
    </row>
    <row r="43" spans="2:11" x14ac:dyDescent="0.2">
      <c r="B43" s="39"/>
      <c r="C43" s="58"/>
      <c r="D43" s="16"/>
      <c r="E43" s="155"/>
      <c r="G43" s="36">
        <v>0</v>
      </c>
      <c r="H43" s="17"/>
      <c r="I43" s="36">
        <f t="shared" si="2"/>
        <v>-63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-63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-63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-63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-63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-63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-63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-63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-63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-63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-63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-63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-63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-63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-63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-63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-63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-63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-63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-63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-63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-63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-63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-63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-63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-63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-63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-63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-63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-63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-63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-63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-63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-63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-63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107" priority="13" stopIfTrue="1">
      <formula>J77="assigned"</formula>
    </cfRule>
    <cfRule type="expression" dxfId="106" priority="14">
      <formula>J77="expired"</formula>
    </cfRule>
  </conditionalFormatting>
  <conditionalFormatting sqref="B77:B116">
    <cfRule type="expression" dxfId="105" priority="11">
      <formula>AND(ISNUMBER(SEARCH("call", B77)), J77="expired")</formula>
    </cfRule>
    <cfRule type="expression" dxfId="104" priority="12">
      <formula>AND(ISNUMBER(SEARCH("call", B77)), J77="assigned")</formula>
    </cfRule>
  </conditionalFormatting>
  <conditionalFormatting sqref="B41:B42 B45:B76">
    <cfRule type="expression" dxfId="103" priority="6" stopIfTrue="1">
      <formula>J41="ROLL"</formula>
    </cfRule>
    <cfRule type="expression" dxfId="102" priority="7" stopIfTrue="1">
      <formula>AND(ISNUMBER(SEARCH("call", B41)), J41="expired")</formula>
    </cfRule>
    <cfRule type="expression" dxfId="101" priority="8" stopIfTrue="1">
      <formula>AND(ISNUMBER(SEARCH("call", B41)), J41="assigned")</formula>
    </cfRule>
    <cfRule type="expression" dxfId="100" priority="9" stopIfTrue="1">
      <formula>J41="assigned"</formula>
    </cfRule>
    <cfRule type="expression" dxfId="99" priority="10">
      <formula>J41="expired"</formula>
    </cfRule>
  </conditionalFormatting>
  <conditionalFormatting sqref="B43:B44">
    <cfRule type="expression" dxfId="98" priority="1" stopIfTrue="1">
      <formula>J43="ROLL"</formula>
    </cfRule>
    <cfRule type="expression" dxfId="97" priority="2" stopIfTrue="1">
      <formula>AND(ISNUMBER(SEARCH("call", B43)), J43="expired")</formula>
    </cfRule>
    <cfRule type="expression" dxfId="96" priority="3" stopIfTrue="1">
      <formula>AND(ISNUMBER(SEARCH("call", B43)), J43="assigned")</formula>
    </cfRule>
    <cfRule type="expression" dxfId="95" priority="4" stopIfTrue="1">
      <formula>J43="assigned"</formula>
    </cfRule>
    <cfRule type="expression" dxfId="94" priority="5">
      <formula>J43="expired"</formula>
    </cfRule>
  </conditionalFormatting>
  <pageMargins left="0.7" right="0.7" top="0.75" bottom="0.75" header="0.3" footer="0.3"/>
  <pageSetup paperSize="0" orientation="portrait" r:id="rId1"/>
</worksheet>
</file>

<file path=xl/worksheets/sheet4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46C2-7E89-614F-BB61-B53C6348FEDB}">
  <sheetPr codeName="Sheet51"/>
  <dimension ref="B1:N79"/>
  <sheetViews>
    <sheetView topLeftCell="A22" zoomScale="120" zoomScaleNormal="120" workbookViewId="0">
      <selection activeCell="H45" sqref="H45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12</v>
      </c>
      <c r="C1" s="197"/>
    </row>
    <row r="2" spans="2:14" x14ac:dyDescent="0.2">
      <c r="B2" s="1"/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8.6754333333333342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600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 t="s">
        <v>9</v>
      </c>
      <c r="C11" s="106" t="d">
        <v>2013-11-06</v>
      </c>
      <c r="D11" s="96"/>
      <c r="E11" s="17">
        <v>33</v>
      </c>
      <c r="F11" s="35">
        <v>152.22</v>
      </c>
      <c r="G11" s="44">
        <f>E11*F11</f>
        <v>5023.26</v>
      </c>
      <c r="H11" s="20"/>
      <c r="I11" s="36">
        <f>G11</f>
        <v>5023.26</v>
      </c>
      <c r="J11" s="31"/>
      <c r="K11" s="36">
        <f>I11/E11</f>
        <v>152.22</v>
      </c>
    </row>
    <row r="12" spans="2:14" x14ac:dyDescent="0.2">
      <c r="B12" s="15" t="s">
        <v>15</v>
      </c>
      <c r="C12" s="106" t="d">
        <v>2016-11-22</v>
      </c>
      <c r="D12" s="96"/>
      <c r="E12" s="17">
        <v>5</v>
      </c>
      <c r="F12" s="35">
        <v>0</v>
      </c>
      <c r="G12" s="44">
        <f>E12*F12</f>
        <v>0</v>
      </c>
      <c r="H12" s="20"/>
      <c r="I12" s="36">
        <f>I11+G12</f>
        <v>5023.26</v>
      </c>
      <c r="J12" s="31"/>
      <c r="K12" s="36">
        <f>I12/SUM($E$11:E12)</f>
        <v>132.19105263157894</v>
      </c>
    </row>
    <row r="13" spans="2:14" x14ac:dyDescent="0.2">
      <c r="B13" s="15" t="s">
        <v>9</v>
      </c>
      <c r="C13" s="106" t="d">
        <v>2020-04-08</v>
      </c>
      <c r="D13" s="96"/>
      <c r="E13" s="17">
        <v>2</v>
      </c>
      <c r="F13" s="35">
        <v>553.5</v>
      </c>
      <c r="G13" s="44">
        <f t="shared" ref="G13:G37" si="0">E13*F13</f>
        <v>1107</v>
      </c>
      <c r="H13" s="20"/>
      <c r="I13" s="36">
        <f>I12+G13</f>
        <v>6130.26</v>
      </c>
      <c r="J13" s="31"/>
      <c r="K13" s="36">
        <f>I13/SUM($E$11:E13)</f>
        <v>153.25650000000002</v>
      </c>
    </row>
    <row r="14" spans="2:14" x14ac:dyDescent="0.2">
      <c r="B14" s="15" t="s">
        <v>14</v>
      </c>
      <c r="C14" s="106" t="d">
        <v>2020-08-31</v>
      </c>
      <c r="D14" s="96"/>
      <c r="E14" s="17">
        <v>160</v>
      </c>
      <c r="F14" s="35">
        <v>0</v>
      </c>
      <c r="G14" s="44">
        <f t="shared" si="0"/>
        <v>0</v>
      </c>
      <c r="H14" s="20"/>
      <c r="I14" s="36">
        <f t="shared" ref="I14:I37" si="1">I13+G14</f>
        <v>6130.26</v>
      </c>
      <c r="J14" s="31"/>
      <c r="K14" s="36">
        <f>I14/SUM($E$11:E14)</f>
        <v>30.651300000000003</v>
      </c>
    </row>
    <row r="15" spans="2:14" x14ac:dyDescent="0.2">
      <c r="B15" s="15" t="s">
        <v>13</v>
      </c>
      <c r="C15" s="106" t="d">
        <v>2022-08-25</v>
      </c>
      <c r="D15" s="96"/>
      <c r="E15" s="17">
        <v>400</v>
      </c>
      <c r="F15" s="35">
        <v>0</v>
      </c>
      <c r="G15" s="44">
        <f t="shared" si="0"/>
        <v>0</v>
      </c>
      <c r="H15" s="20"/>
      <c r="I15" s="36">
        <f t="shared" si="1"/>
        <v>6130.26</v>
      </c>
      <c r="J15" s="31"/>
      <c r="K15" s="36">
        <f>I15/SUM($E$11:E15)</f>
        <v>10.2171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6130.26</v>
      </c>
      <c r="J16" s="31"/>
      <c r="K16" s="36">
        <f>I16/SUM($E$11:E16)</f>
        <v>10.2171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6130.26</v>
      </c>
      <c r="J17" s="31"/>
      <c r="K17" s="36">
        <f>I17/SUM($E$11:E17)</f>
        <v>10.2171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6130.26</v>
      </c>
      <c r="J18" s="31"/>
      <c r="K18" s="36">
        <f>I18/SUM($E$11:E18)</f>
        <v>10.2171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6130.26</v>
      </c>
      <c r="J19" s="31"/>
      <c r="K19" s="36">
        <f>I19/SUM($E$11:E19)</f>
        <v>10.2171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6130.26</v>
      </c>
      <c r="J20" s="31"/>
      <c r="K20" s="36">
        <f>I20/SUM($E$11:E20)</f>
        <v>10.2171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6130.26</v>
      </c>
      <c r="J21" s="31"/>
      <c r="K21" s="36">
        <f>I21/SUM($E$11:E21)</f>
        <v>10.2171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6130.26</v>
      </c>
      <c r="J22" s="31"/>
      <c r="K22" s="36">
        <f>I22/SUM($E$11:E22)</f>
        <v>10.2171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6130.26</v>
      </c>
      <c r="J23" s="31"/>
      <c r="K23" s="36">
        <f>I23/SUM($E$11:E23)</f>
        <v>10.2171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6130.26</v>
      </c>
      <c r="J24" s="31"/>
      <c r="K24" s="36">
        <f>I24/SUM($E$11:E24)</f>
        <v>10.2171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6130.26</v>
      </c>
      <c r="J25" s="31"/>
      <c r="K25" s="36">
        <f>I25/SUM($E$11:E25)</f>
        <v>10.2171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6130.26</v>
      </c>
      <c r="J26" s="31"/>
      <c r="K26" s="36">
        <f>I26/SUM($E$11:E26)</f>
        <v>10.2171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6130.26</v>
      </c>
      <c r="J27" s="31"/>
      <c r="K27" s="36">
        <f>I27/SUM($E$11:E27)</f>
        <v>10.2171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6130.26</v>
      </c>
      <c r="J28" s="31"/>
      <c r="K28" s="36">
        <f>I28/SUM($E$11:E28)</f>
        <v>10.2171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6130.26</v>
      </c>
      <c r="J29" s="31"/>
      <c r="K29" s="36">
        <f>I29/SUM($E$11:E29)</f>
        <v>10.2171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6130.26</v>
      </c>
      <c r="J30" s="31"/>
      <c r="K30" s="36">
        <f>I30/SUM($E$11:E30)</f>
        <v>10.2171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6130.26</v>
      </c>
      <c r="J31" s="31"/>
      <c r="K31" s="36">
        <f>I31/SUM($E$11:E31)</f>
        <v>10.2171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6130.26</v>
      </c>
      <c r="J32" s="31"/>
      <c r="K32" s="36">
        <f>I32/SUM($E$11:E32)</f>
        <v>10.2171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6130.26</v>
      </c>
      <c r="J33" s="31"/>
      <c r="K33" s="36">
        <f>I33/SUM($E$11:E33)</f>
        <v>10.2171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6130.26</v>
      </c>
      <c r="J34" s="31"/>
      <c r="K34" s="36">
        <f>I34/SUM($E$11:E34)</f>
        <v>10.2171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6130.26</v>
      </c>
      <c r="J35" s="31"/>
      <c r="K35" s="36">
        <f>I35/SUM($E$11:E35)</f>
        <v>10.2171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6130.26</v>
      </c>
      <c r="J36" s="31"/>
      <c r="K36" s="36">
        <f>I36/SUM($E$11:E36)</f>
        <v>10.2171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6130.26</v>
      </c>
      <c r="J37" s="31"/>
      <c r="K37" s="36">
        <f>I37/SUM($E$11:E37)</f>
        <v>10.2171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6130.26</v>
      </c>
      <c r="H38" s="20"/>
      <c r="I38" s="19"/>
      <c r="J38" s="31"/>
      <c r="K38" s="137">
        <f>SUM(G11:G37)/SUM(E11:E38)</f>
        <v>10.2171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32" x14ac:dyDescent="0.2">
      <c r="B41" s="39" t="s">
        <v>504</v>
      </c>
      <c r="C41" s="106" t="d">
        <v>2025-03-12</v>
      </c>
      <c r="D41" s="16"/>
      <c r="E41" s="155"/>
      <c r="F41" s="21"/>
      <c r="G41" s="36">
        <f>-256*2</f>
        <v>-512</v>
      </c>
      <c r="H41" s="20"/>
      <c r="I41" s="36">
        <f>I13+G41</f>
        <v>5618.26</v>
      </c>
      <c r="J41" s="31" t="s">
        <v>10</v>
      </c>
      <c r="K41" s="36">
        <f>I41/SUM($E$11:E41)</f>
        <v>9.3637666666666668</v>
      </c>
    </row>
    <row r="42" spans="2:11" ht="32" x14ac:dyDescent="0.2">
      <c r="B42" s="39" t="s">
        <v>505</v>
      </c>
      <c r="C42" s="16" t="d">
        <v>2025-03-21</v>
      </c>
      <c r="D42" s="16"/>
      <c r="E42" s="155"/>
      <c r="F42" s="21"/>
      <c r="G42" s="36">
        <f>-92*2</f>
        <v>-184</v>
      </c>
      <c r="H42" s="17"/>
      <c r="I42" s="36">
        <f t="shared" ref="I42:I76" si="2">I41+G42</f>
        <v>5434.26</v>
      </c>
      <c r="J42" s="31"/>
      <c r="K42" s="36">
        <f>I42/SUM($E$11:E42)</f>
        <v>9.0571000000000002</v>
      </c>
    </row>
    <row r="43" spans="2:11" ht="32" x14ac:dyDescent="0.2">
      <c r="B43" s="39" t="s">
        <v>499</v>
      </c>
      <c r="C43" s="16" t="d">
        <v>2025-07-09</v>
      </c>
      <c r="D43" s="16"/>
      <c r="E43" s="155"/>
      <c r="G43" s="36">
        <v>-171</v>
      </c>
      <c r="H43" s="17"/>
      <c r="I43" s="36">
        <f t="shared" si="2"/>
        <v>5263.26</v>
      </c>
      <c r="J43" s="31"/>
      <c r="K43" s="36">
        <f>I43/SUM($E$11:E43)</f>
        <v>8.7721</v>
      </c>
    </row>
    <row r="44" spans="2:11" ht="32" x14ac:dyDescent="0.2">
      <c r="B44" s="39" t="s">
        <v>506</v>
      </c>
      <c r="C44" s="58" t="d">
        <v>2025-07-18</v>
      </c>
      <c r="D44" s="16"/>
      <c r="E44" s="155"/>
      <c r="F44" s="18"/>
      <c r="G44" s="36">
        <v>-58</v>
      </c>
      <c r="H44" s="17"/>
      <c r="I44" s="36">
        <f t="shared" si="2"/>
        <v>5205.26</v>
      </c>
      <c r="J44" s="31"/>
      <c r="K44" s="36">
        <f>I44/SUM($E$11:E44)</f>
        <v>8.6754333333333342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5205.26</v>
      </c>
      <c r="J45" s="31"/>
      <c r="K45" s="36">
        <f>I45/SUM($E$11:E45)</f>
        <v>8.6754333333333342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5205.26</v>
      </c>
      <c r="J46" s="31"/>
      <c r="K46" s="36">
        <f>I46/SUM($E$11:E46)</f>
        <v>8.6754333333333342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5205.26</v>
      </c>
      <c r="J47" s="31"/>
      <c r="K47" s="36">
        <f>I47/SUM($E$11:E47)</f>
        <v>8.6754333333333342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5205.26</v>
      </c>
      <c r="J48" s="31"/>
      <c r="K48" s="36">
        <f>I48/SUM($E$11:E48)</f>
        <v>8.6754333333333342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5205.26</v>
      </c>
      <c r="J49" s="31"/>
      <c r="K49" s="36">
        <f>I49/SUM($E$11:E49)</f>
        <v>8.6754333333333342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5205.26</v>
      </c>
      <c r="J50" s="31"/>
      <c r="K50" s="36">
        <f>I50/SUM($E$11:E50)</f>
        <v>8.6754333333333342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5205.26</v>
      </c>
      <c r="J51" s="31"/>
      <c r="K51" s="36">
        <f>I51/SUM($E$11:E51)</f>
        <v>8.6754333333333342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5205.26</v>
      </c>
      <c r="J52" s="31"/>
      <c r="K52" s="36">
        <f>I52/SUM($E$11:E52)</f>
        <v>8.6754333333333342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5205.26</v>
      </c>
      <c r="J53" s="31"/>
      <c r="K53" s="36">
        <f>I53/SUM($E$11:E53)</f>
        <v>8.6754333333333342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5205.26</v>
      </c>
      <c r="J54" s="31"/>
      <c r="K54" s="36">
        <f>I54/SUM($E$11:E54)</f>
        <v>8.6754333333333342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5205.26</v>
      </c>
      <c r="J55" s="31"/>
      <c r="K55" s="36">
        <f>I55/SUM($E$11:E55)</f>
        <v>8.6754333333333342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5205.26</v>
      </c>
      <c r="J56" s="31"/>
      <c r="K56" s="36">
        <f>I56/SUM($E$11:E56)</f>
        <v>8.6754333333333342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5205.26</v>
      </c>
      <c r="J57" s="31"/>
      <c r="K57" s="36">
        <f>I57/SUM($E$11:E57)</f>
        <v>8.6754333333333342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5205.26</v>
      </c>
      <c r="J58" s="31"/>
      <c r="K58" s="36">
        <f>I58/SUM($E$11:E58)</f>
        <v>8.6754333333333342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5205.26</v>
      </c>
      <c r="J59" s="31"/>
      <c r="K59" s="36">
        <f>I59/SUM($E$11:E59)</f>
        <v>8.6754333333333342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5205.26</v>
      </c>
      <c r="J60" s="31"/>
      <c r="K60" s="36">
        <f>I60/SUM($E$11:E60)</f>
        <v>8.6754333333333342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5205.26</v>
      </c>
      <c r="J61" s="31"/>
      <c r="K61" s="36">
        <f>I61/SUM($E$11:E61)</f>
        <v>8.6754333333333342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5205.26</v>
      </c>
      <c r="J62" s="31"/>
      <c r="K62" s="36">
        <f>I62/SUM($E$11:E62)</f>
        <v>8.6754333333333342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5205.26</v>
      </c>
      <c r="J63" s="31"/>
      <c r="K63" s="36">
        <f>I63/SUM($E$11:E63)</f>
        <v>8.6754333333333342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5205.26</v>
      </c>
      <c r="J64" s="31"/>
      <c r="K64" s="36">
        <f>I64/SUM($E$11:E64)</f>
        <v>8.6754333333333342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5205.26</v>
      </c>
      <c r="J65" s="31"/>
      <c r="K65" s="36">
        <f>I65/SUM($E$11:E65)</f>
        <v>8.6754333333333342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5205.26</v>
      </c>
      <c r="J66" s="31"/>
      <c r="K66" s="36">
        <f>I66/SUM($E$11:E66)</f>
        <v>8.6754333333333342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5205.26</v>
      </c>
      <c r="J67" s="31"/>
      <c r="K67" s="36">
        <f>I67/SUM($E$11:E67)</f>
        <v>8.6754333333333342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5205.26</v>
      </c>
      <c r="J68" s="31"/>
      <c r="K68" s="36">
        <f>I68/SUM($E$11:E68)</f>
        <v>8.6754333333333342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5205.26</v>
      </c>
      <c r="J69" s="31"/>
      <c r="K69" s="36">
        <f>I69/SUM($E$11:E69)</f>
        <v>8.6754333333333342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5205.26</v>
      </c>
      <c r="J70" s="31"/>
      <c r="K70" s="36">
        <f>I70/SUM($E$11:E70)</f>
        <v>8.6754333333333342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5205.26</v>
      </c>
      <c r="J71" s="31"/>
      <c r="K71" s="36">
        <f>I71/SUM($E$11:E71)</f>
        <v>8.6754333333333342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5205.26</v>
      </c>
      <c r="J72" s="31"/>
      <c r="K72" s="36">
        <f>I72/SUM($E$11:E72)</f>
        <v>8.6754333333333342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5205.26</v>
      </c>
      <c r="J73" s="31"/>
      <c r="K73" s="36">
        <f>I73/SUM($E$11:E73)</f>
        <v>8.6754333333333342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5205.26</v>
      </c>
      <c r="J74" s="31"/>
      <c r="K74" s="36">
        <f>I74/SUM($E$11:E74)</f>
        <v>8.6754333333333342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5205.26</v>
      </c>
      <c r="J75" s="31"/>
      <c r="K75" s="36">
        <f>I75/SUM($E$11:E75)</f>
        <v>8.6754333333333342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5205.26</v>
      </c>
      <c r="J76" s="31"/>
      <c r="K76" s="36">
        <f>I76/SUM($E$11:E76)</f>
        <v>8.6754333333333342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-925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93" priority="18" stopIfTrue="1">
      <formula>J77="assigned"</formula>
    </cfRule>
    <cfRule type="expression" dxfId="92" priority="19">
      <formula>J77="expired"</formula>
    </cfRule>
  </conditionalFormatting>
  <conditionalFormatting sqref="B77:B116">
    <cfRule type="expression" dxfId="91" priority="16">
      <formula>AND(ISNUMBER(SEARCH("call", B77)), J77="expired")</formula>
    </cfRule>
    <cfRule type="expression" dxfId="90" priority="17">
      <formula>AND(ISNUMBER(SEARCH("call", B77)), J77="assigned")</formula>
    </cfRule>
  </conditionalFormatting>
  <conditionalFormatting sqref="B45:B76">
    <cfRule type="expression" dxfId="89" priority="11" stopIfTrue="1">
      <formula>J45="ROLL"</formula>
    </cfRule>
    <cfRule type="expression" dxfId="88" priority="12" stopIfTrue="1">
      <formula>AND(ISNUMBER(SEARCH("call", B45)), J45="expired")</formula>
    </cfRule>
    <cfRule type="expression" dxfId="87" priority="13" stopIfTrue="1">
      <formula>AND(ISNUMBER(SEARCH("call", B45)), J45="assigned")</formula>
    </cfRule>
    <cfRule type="expression" dxfId="86" priority="14" stopIfTrue="1">
      <formula>J45="assigned"</formula>
    </cfRule>
    <cfRule type="expression" dxfId="85" priority="15">
      <formula>J45="expired"</formula>
    </cfRule>
  </conditionalFormatting>
  <conditionalFormatting sqref="B41:B43">
    <cfRule type="expression" dxfId="84" priority="6" stopIfTrue="1">
      <formula>J41="ROLL"</formula>
    </cfRule>
    <cfRule type="expression" dxfId="83" priority="7" stopIfTrue="1">
      <formula>AND(ISNUMBER(SEARCH("call", B41)), J41="expired")</formula>
    </cfRule>
    <cfRule type="expression" dxfId="82" priority="8" stopIfTrue="1">
      <formula>AND(ISNUMBER(SEARCH("call", B41)), J41="assigned")</formula>
    </cfRule>
    <cfRule type="expression" dxfId="81" priority="9" stopIfTrue="1">
      <formula>J41="assigned"</formula>
    </cfRule>
    <cfRule type="expression" dxfId="80" priority="10" stopIfTrue="1">
      <formula>J41="expired"</formula>
    </cfRule>
  </conditionalFormatting>
  <conditionalFormatting sqref="B44">
    <cfRule type="expression" dxfId="79" priority="1" stopIfTrue="1">
      <formula>J44="ROLL"</formula>
    </cfRule>
    <cfRule type="expression" dxfId="78" priority="2" stopIfTrue="1">
      <formula>AND(ISNUMBER(SEARCH("call", B44)), J44="expired")</formula>
    </cfRule>
    <cfRule type="expression" dxfId="77" priority="3" stopIfTrue="1">
      <formula>AND(ISNUMBER(SEARCH("call", B44)), J44="assigned")</formula>
    </cfRule>
    <cfRule type="expression" dxfId="76" priority="4" stopIfTrue="1">
      <formula>J44="assigned"</formula>
    </cfRule>
    <cfRule type="expression" dxfId="75" priority="5" stopIfTrue="1">
      <formula>J44="expired"</formula>
    </cfRule>
  </conditionalFormatting>
  <pageMargins left="0.7" right="0.7" top="0.75" bottom="0.75" header="0.3" footer="0.3"/>
  <pageSetup paperSize="0" orientation="portrait" r:id="rId1"/>
</worksheet>
</file>

<file path=xl/worksheets/sheet4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E4C0-107C-0541-90C0-BC6E5A36F7E9}">
  <sheetPr codeName="Sheet11"/>
  <dimension ref="B1:O72"/>
  <sheetViews>
    <sheetView zoomScale="120" zoomScaleNormal="120" workbookViewId="0">
      <selection activeCell="E16" sqref="E16"/>
    </sheetView>
  </sheetViews>
  <sheetFormatPr baseColWidth="10" defaultColWidth="8.83203125" defaultRowHeight="15" x14ac:dyDescent="0.2"/>
  <cols>
    <col min="1" max="1" width="6" style="70" customWidth="1"/>
    <col min="2" max="2" width="37.83203125" style="70" customWidth="1"/>
    <col min="3" max="3" width="11.1640625" style="109" customWidth="1"/>
    <col min="4" max="4" width="3.5" style="109" customWidth="1"/>
    <col min="5" max="5" width="9.33203125" style="70" customWidth="1"/>
    <col min="6" max="6" width="10.6640625" style="70" customWidth="1"/>
    <col min="7" max="7" width="15.1640625" style="70" bestFit="1" customWidth="1"/>
    <col min="8" max="8" width="3.5" style="70" customWidth="1"/>
    <col min="9" max="9" width="11.83203125" style="70" customWidth="1"/>
    <col min="10" max="10" width="15.1640625" style="71" customWidth="1"/>
    <col min="11" max="11" width="10.1640625" style="72" bestFit="1" customWidth="1"/>
    <col min="12" max="12" width="44.1640625" style="70" customWidth="1"/>
    <col min="13" max="13" width="24.33203125" style="70" customWidth="1"/>
    <col min="14" max="16384" width="8.83203125" style="70"/>
  </cols>
  <sheetData>
    <row r="1" spans="2:12" x14ac:dyDescent="0.2">
      <c r="B1" s="69"/>
    </row>
    <row r="2" spans="2:12" x14ac:dyDescent="0.2">
      <c r="B2" s="73"/>
      <c r="C2" s="110"/>
      <c r="D2" s="110"/>
      <c r="E2" s="72"/>
      <c r="F2" s="74"/>
      <c r="G2" s="75"/>
    </row>
    <row r="3" spans="2:12" ht="19" x14ac:dyDescent="0.2">
      <c r="B3" s="76"/>
      <c r="C3" s="112"/>
      <c r="D3" s="112"/>
      <c r="E3" s="77"/>
      <c r="F3" s="78" t="s">
        <v>0</v>
      </c>
      <c r="G3" s="79">
        <f>IF(ISERROR(SUM(G22,G70)/G4),SUM(G22,G70),SUM(G22,G70)/G4)</f>
        <v>-167443.20000000001</v>
      </c>
      <c r="H3" s="70" t="s">
        <v>1</v>
      </c>
      <c r="J3" s="80">
        <v>430</v>
      </c>
      <c r="K3" s="77"/>
    </row>
    <row r="4" spans="2:12" x14ac:dyDescent="0.2">
      <c r="B4" s="73"/>
      <c r="C4" s="110"/>
      <c r="D4" s="110"/>
      <c r="E4" s="72"/>
      <c r="F4" s="74" t="s">
        <v>2</v>
      </c>
      <c r="G4" s="81">
        <f>SUM(E11:E21)</f>
        <v>0</v>
      </c>
    </row>
    <row r="5" spans="2:12" ht="16" x14ac:dyDescent="0.2">
      <c r="B5" s="82" t="s">
        <v>12</v>
      </c>
      <c r="C5" s="110"/>
      <c r="D5" s="110"/>
      <c r="E5" s="72"/>
      <c r="F5" s="74"/>
      <c r="G5" s="75"/>
    </row>
    <row r="6" spans="2:12" x14ac:dyDescent="0.2">
      <c r="B6" s="68"/>
      <c r="C6" s="106"/>
      <c r="D6" s="106"/>
      <c r="E6" s="83"/>
      <c r="F6" s="84"/>
      <c r="G6" s="85"/>
      <c r="H6" s="69"/>
      <c r="I6" s="69"/>
      <c r="J6" s="86"/>
      <c r="K6" s="83"/>
    </row>
    <row r="7" spans="2:12" ht="6" customHeight="1" x14ac:dyDescent="0.2">
      <c r="B7" s="68"/>
      <c r="C7" s="106"/>
      <c r="D7" s="106"/>
      <c r="E7" s="83"/>
      <c r="F7" s="84"/>
      <c r="G7" s="85"/>
      <c r="H7" s="69"/>
      <c r="I7" s="69"/>
      <c r="J7" s="86"/>
      <c r="K7" s="83"/>
    </row>
    <row r="8" spans="2:12" s="90" customFormat="1" ht="12" x14ac:dyDescent="0.2">
      <c r="B8" s="199" t="s">
        <v>3</v>
      </c>
      <c r="C8" s="199"/>
      <c r="D8" s="199"/>
      <c r="E8" s="199"/>
      <c r="F8" s="199"/>
      <c r="G8" s="199"/>
      <c r="H8" s="87"/>
      <c r="I8" s="88" t="s">
        <v>4</v>
      </c>
      <c r="J8" s="89"/>
      <c r="K8" s="88" t="s">
        <v>5</v>
      </c>
      <c r="L8" s="88" t="s">
        <v>168</v>
      </c>
    </row>
    <row r="9" spans="2:12" x14ac:dyDescent="0.2">
      <c r="B9" s="91" t="s">
        <v>11</v>
      </c>
      <c r="C9" s="115" t="s">
        <v>6</v>
      </c>
      <c r="D9" s="115"/>
      <c r="E9" s="92" t="s">
        <v>2</v>
      </c>
      <c r="F9" s="93" t="s">
        <v>7</v>
      </c>
      <c r="G9" s="94" t="s">
        <v>8</v>
      </c>
      <c r="H9" s="92"/>
      <c r="I9" s="92"/>
      <c r="J9" s="95"/>
      <c r="K9" s="92"/>
    </row>
    <row r="10" spans="2:12" ht="5.5" customHeight="1" x14ac:dyDescent="0.2">
      <c r="B10" s="91"/>
      <c r="C10" s="115"/>
      <c r="D10" s="115"/>
      <c r="E10" s="92"/>
      <c r="F10" s="93"/>
      <c r="G10" s="94"/>
      <c r="H10" s="92"/>
      <c r="I10" s="92"/>
      <c r="J10" s="95"/>
      <c r="K10" s="92"/>
    </row>
    <row r="11" spans="2:12" x14ac:dyDescent="0.2">
      <c r="B11" s="68" t="s">
        <v>9</v>
      </c>
      <c r="C11" s="106" t="d">
        <v>2013-11-07</v>
      </c>
      <c r="D11" s="106"/>
      <c r="E11" s="83">
        <v>30</v>
      </c>
      <c r="F11" s="84">
        <v>140.26</v>
      </c>
      <c r="G11" s="99">
        <f>E11*F11</f>
        <v>4207.7999999999993</v>
      </c>
      <c r="H11" s="69"/>
      <c r="I11" s="99">
        <f>G11</f>
        <v>4207.7999999999993</v>
      </c>
      <c r="J11" s="86"/>
      <c r="K11" s="98">
        <f>I11/E11</f>
        <v>140.25999999999996</v>
      </c>
    </row>
    <row r="12" spans="2:12" x14ac:dyDescent="0.2">
      <c r="B12" s="68" t="s">
        <v>14</v>
      </c>
      <c r="C12" s="106" t="d">
        <v>2020-08-31</v>
      </c>
      <c r="D12" s="106"/>
      <c r="E12" s="83">
        <v>120</v>
      </c>
      <c r="F12" s="85">
        <v>0</v>
      </c>
      <c r="G12" s="99">
        <f>E12*F12</f>
        <v>0</v>
      </c>
      <c r="H12" s="69"/>
      <c r="I12" s="99">
        <f>I11+G12</f>
        <v>4207.7999999999993</v>
      </c>
      <c r="J12" s="86"/>
      <c r="K12" s="98">
        <f>I12/SUM($E$11:E12)</f>
        <v>28.051999999999996</v>
      </c>
    </row>
    <row r="13" spans="2:12" x14ac:dyDescent="0.2">
      <c r="B13" s="68" t="s">
        <v>13</v>
      </c>
      <c r="C13" s="106" t="d">
        <v>2022-08-25</v>
      </c>
      <c r="D13" s="106"/>
      <c r="E13" s="83">
        <v>300</v>
      </c>
      <c r="F13" s="85">
        <v>0</v>
      </c>
      <c r="G13" s="99">
        <f t="shared" ref="G13:G21" si="0">E13*F13</f>
        <v>0</v>
      </c>
      <c r="H13" s="69"/>
      <c r="I13" s="99">
        <f>I12+G13</f>
        <v>4207.7999999999993</v>
      </c>
      <c r="J13" s="86"/>
      <c r="K13" s="98">
        <f>I13/SUM($E$11:E13)</f>
        <v>9.3506666666666653</v>
      </c>
    </row>
    <row r="14" spans="2:12" x14ac:dyDescent="0.2">
      <c r="B14" s="68" t="s">
        <v>26</v>
      </c>
      <c r="C14" s="106" t="d">
        <v>2024-12-24</v>
      </c>
      <c r="D14" s="106"/>
      <c r="E14" s="83">
        <v>-50</v>
      </c>
      <c r="F14" s="85">
        <v>452</v>
      </c>
      <c r="G14" s="99">
        <f t="shared" si="0"/>
        <v>-22600</v>
      </c>
      <c r="H14" s="69"/>
      <c r="I14" s="99">
        <f t="shared" ref="I14:I21" si="1">I13+G14</f>
        <v>-18392.2</v>
      </c>
      <c r="J14" s="86"/>
      <c r="K14" s="98">
        <f>I14/SUM($E$11:E14)</f>
        <v>-45.980499999999999</v>
      </c>
    </row>
    <row r="15" spans="2:12" x14ac:dyDescent="0.2">
      <c r="B15" s="68"/>
      <c r="C15" s="106"/>
      <c r="D15" s="106"/>
      <c r="E15" s="83">
        <v>-400</v>
      </c>
      <c r="F15" s="85">
        <v>500</v>
      </c>
      <c r="G15" s="99">
        <f t="shared" si="0"/>
        <v>-200000</v>
      </c>
      <c r="H15" s="69"/>
      <c r="I15" s="99">
        <f t="shared" si="1"/>
        <v>-218392.2</v>
      </c>
      <c r="J15" s="86"/>
      <c r="K15" s="98" t="e">
        <f>I15/SUM($E$11:E15)</f>
        <v>#DIV/0!</v>
      </c>
    </row>
    <row r="16" spans="2:12" x14ac:dyDescent="0.2">
      <c r="B16" s="68"/>
      <c r="C16" s="106"/>
      <c r="D16" s="106"/>
      <c r="E16" s="83"/>
      <c r="F16" s="85"/>
      <c r="G16" s="99">
        <f t="shared" si="0"/>
        <v>0</v>
      </c>
      <c r="H16" s="69"/>
      <c r="I16" s="99">
        <f t="shared" si="1"/>
        <v>-218392.2</v>
      </c>
      <c r="J16" s="86"/>
      <c r="K16" s="98" t="e">
        <f>I16/SUM($E$11:E16)</f>
        <v>#DIV/0!</v>
      </c>
    </row>
    <row r="17" spans="2:15" x14ac:dyDescent="0.2">
      <c r="B17" s="68"/>
      <c r="C17" s="106"/>
      <c r="D17" s="106"/>
      <c r="E17" s="83"/>
      <c r="F17" s="85"/>
      <c r="G17" s="99">
        <f t="shared" si="0"/>
        <v>0</v>
      </c>
      <c r="H17" s="69"/>
      <c r="I17" s="99">
        <f t="shared" si="1"/>
        <v>-218392.2</v>
      </c>
      <c r="J17" s="86"/>
      <c r="K17" s="98" t="e">
        <f>I17/SUM($E$11:E17)</f>
        <v>#DIV/0!</v>
      </c>
    </row>
    <row r="18" spans="2:15" x14ac:dyDescent="0.2">
      <c r="B18" s="68"/>
      <c r="C18" s="106"/>
      <c r="D18" s="106"/>
      <c r="E18" s="83"/>
      <c r="F18" s="85"/>
      <c r="G18" s="99">
        <f t="shared" si="0"/>
        <v>0</v>
      </c>
      <c r="H18" s="69"/>
      <c r="I18" s="99">
        <f t="shared" si="1"/>
        <v>-218392.2</v>
      </c>
      <c r="J18" s="86"/>
      <c r="K18" s="98" t="e">
        <f>I18/SUM($E$11:E18)</f>
        <v>#DIV/0!</v>
      </c>
    </row>
    <row r="19" spans="2:15" x14ac:dyDescent="0.2">
      <c r="B19" s="68"/>
      <c r="C19" s="106"/>
      <c r="D19" s="106"/>
      <c r="E19" s="83"/>
      <c r="F19" s="85"/>
      <c r="G19" s="99">
        <f t="shared" si="0"/>
        <v>0</v>
      </c>
      <c r="H19" s="69"/>
      <c r="I19" s="99">
        <f t="shared" si="1"/>
        <v>-218392.2</v>
      </c>
      <c r="J19" s="86"/>
      <c r="K19" s="98" t="e">
        <f>I19/SUM($E$11:E19)</f>
        <v>#DIV/0!</v>
      </c>
    </row>
    <row r="20" spans="2:15" x14ac:dyDescent="0.2">
      <c r="B20" s="68"/>
      <c r="C20" s="106"/>
      <c r="D20" s="106"/>
      <c r="E20" s="83"/>
      <c r="F20" s="85"/>
      <c r="G20" s="99">
        <f t="shared" si="0"/>
        <v>0</v>
      </c>
      <c r="H20" s="69"/>
      <c r="I20" s="99">
        <f t="shared" si="1"/>
        <v>-218392.2</v>
      </c>
      <c r="J20" s="86"/>
      <c r="K20" s="98" t="e">
        <f>I20/SUM($E$11:E20)</f>
        <v>#DIV/0!</v>
      </c>
    </row>
    <row r="21" spans="2:15" x14ac:dyDescent="0.2">
      <c r="B21" s="68"/>
      <c r="C21" s="106"/>
      <c r="D21" s="106"/>
      <c r="E21" s="83"/>
      <c r="F21" s="85"/>
      <c r="G21" s="99">
        <f t="shared" si="0"/>
        <v>0</v>
      </c>
      <c r="H21" s="69"/>
      <c r="I21" s="99">
        <f t="shared" si="1"/>
        <v>-218392.2</v>
      </c>
      <c r="J21" s="86"/>
      <c r="K21" s="98" t="e">
        <f>I21/SUM($E$11:E21)</f>
        <v>#DIV/0!</v>
      </c>
    </row>
    <row r="22" spans="2:15" x14ac:dyDescent="0.2">
      <c r="B22" s="68"/>
      <c r="C22" s="106"/>
      <c r="D22" s="106"/>
      <c r="E22" s="83"/>
      <c r="F22" s="84"/>
      <c r="G22" s="100">
        <f>SUM(G11:G21)</f>
        <v>-218392.2</v>
      </c>
      <c r="H22" s="69"/>
      <c r="I22" s="85"/>
      <c r="J22" s="86"/>
      <c r="K22" s="100" t="e">
        <f>SUM(G11:G22)/SUM(E11:E22)</f>
        <v>#DIV/0!</v>
      </c>
    </row>
    <row r="23" spans="2:15" ht="6" customHeight="1" x14ac:dyDescent="0.2">
      <c r="B23" s="68"/>
      <c r="C23" s="106"/>
      <c r="D23" s="106"/>
      <c r="E23" s="83"/>
      <c r="F23" s="84"/>
      <c r="G23" s="85"/>
      <c r="H23" s="69"/>
      <c r="I23" s="69"/>
      <c r="J23" s="86"/>
      <c r="K23" s="83"/>
    </row>
    <row r="24" spans="2:15" ht="6.5" customHeight="1" x14ac:dyDescent="0.2">
      <c r="B24" s="68"/>
      <c r="C24" s="106"/>
      <c r="D24" s="106"/>
      <c r="E24" s="83"/>
      <c r="F24" s="84"/>
      <c r="G24" s="85"/>
      <c r="H24" s="69"/>
      <c r="I24" s="69"/>
      <c r="J24" s="86"/>
      <c r="K24" s="83"/>
    </row>
    <row r="25" spans="2:15" ht="32" x14ac:dyDescent="0.2">
      <c r="B25" s="39" t="s">
        <v>81</v>
      </c>
      <c r="C25" s="106" t="d">
        <v>2024-06-24</v>
      </c>
      <c r="D25" s="106"/>
      <c r="E25" s="83"/>
      <c r="F25" s="101">
        <v>183.5</v>
      </c>
      <c r="G25" s="99">
        <f>-16*4</f>
        <v>-64</v>
      </c>
      <c r="H25" s="69"/>
      <c r="I25" s="99">
        <f>I13+G25</f>
        <v>4143.7999999999993</v>
      </c>
      <c r="J25" s="71" t="s">
        <v>281</v>
      </c>
      <c r="K25" s="99" t="e">
        <f>I25/SUM($E$11:E21)</f>
        <v>#DIV/0!</v>
      </c>
      <c r="L25" s="86" t="s">
        <v>37</v>
      </c>
    </row>
    <row r="26" spans="2:15" ht="16" x14ac:dyDescent="0.2">
      <c r="B26" s="39" t="s">
        <v>82</v>
      </c>
      <c r="C26" s="106" t="d">
        <v>2024-07-05</v>
      </c>
      <c r="D26" s="106"/>
      <c r="E26" s="83"/>
      <c r="F26" s="101">
        <v>249</v>
      </c>
      <c r="G26" s="99">
        <f>-160*4</f>
        <v>-640</v>
      </c>
      <c r="H26" s="83"/>
      <c r="I26" s="99">
        <f t="shared" ref="I26:I34" si="2">I25+G26</f>
        <v>3503.7999999999993</v>
      </c>
      <c r="J26" s="71" t="s">
        <v>10</v>
      </c>
      <c r="K26" s="99" t="e">
        <f>I26/SUM($E$11:E26)</f>
        <v>#DIV/0!</v>
      </c>
      <c r="L26" s="86"/>
    </row>
    <row r="27" spans="2:15" ht="16" x14ac:dyDescent="0.2">
      <c r="B27" s="39" t="s">
        <v>83</v>
      </c>
      <c r="C27" s="106" t="d">
        <v>2024-07-09</v>
      </c>
      <c r="D27" s="106"/>
      <c r="E27" s="83"/>
      <c r="F27" s="101">
        <v>263</v>
      </c>
      <c r="G27" s="99">
        <v>15368</v>
      </c>
      <c r="H27" s="83"/>
      <c r="I27" s="99">
        <f t="shared" si="2"/>
        <v>18871.8</v>
      </c>
      <c r="J27" s="71" t="s">
        <v>127</v>
      </c>
      <c r="K27" s="99" t="e">
        <f>I27/SUM($E$11:E27)</f>
        <v>#DIV/0!</v>
      </c>
      <c r="L27" s="86" t="s">
        <v>127</v>
      </c>
    </row>
    <row r="28" spans="2:15" ht="16" x14ac:dyDescent="0.2">
      <c r="B28" s="39" t="s">
        <v>80</v>
      </c>
      <c r="C28" s="106" t="d">
        <v>2024-09-24</v>
      </c>
      <c r="D28" s="106"/>
      <c r="E28" s="83"/>
      <c r="F28" s="101"/>
      <c r="G28" s="99">
        <v>-235</v>
      </c>
      <c r="H28" s="83"/>
      <c r="I28" s="99">
        <f t="shared" si="2"/>
        <v>18636.8</v>
      </c>
      <c r="J28" s="71" t="s">
        <v>10</v>
      </c>
      <c r="K28" s="99" t="e">
        <f>I28/SUM($E$11:E28)</f>
        <v>#DIV/0!</v>
      </c>
      <c r="L28" s="86" t="s">
        <v>10</v>
      </c>
      <c r="O28" s="70">
        <v>2379</v>
      </c>
    </row>
    <row r="29" spans="2:15" ht="48" x14ac:dyDescent="0.2">
      <c r="B29" s="39" t="s">
        <v>235</v>
      </c>
      <c r="C29" s="106" t="d">
        <v>2024-11-04</v>
      </c>
      <c r="D29" s="106"/>
      <c r="E29" s="83"/>
      <c r="F29" s="101">
        <v>248</v>
      </c>
      <c r="G29" s="99">
        <f>-80*4</f>
        <v>-320</v>
      </c>
      <c r="H29" s="83"/>
      <c r="I29" s="99">
        <f t="shared" si="2"/>
        <v>18316.8</v>
      </c>
      <c r="J29" s="71" t="s">
        <v>281</v>
      </c>
      <c r="K29" s="99" t="e">
        <f>I29/SUM($E$11:E29)</f>
        <v>#DIV/0!</v>
      </c>
      <c r="L29" s="86" t="s">
        <v>147</v>
      </c>
      <c r="O29" s="70">
        <v>2303</v>
      </c>
    </row>
    <row r="30" spans="2:15" ht="32" x14ac:dyDescent="0.2">
      <c r="B30" s="39" t="s">
        <v>236</v>
      </c>
      <c r="C30" s="106" t="d">
        <v>2024-11-08</v>
      </c>
      <c r="D30" s="106"/>
      <c r="E30" s="83"/>
      <c r="F30" s="101">
        <v>317</v>
      </c>
      <c r="G30" s="99">
        <v>-620</v>
      </c>
      <c r="H30" s="83"/>
      <c r="I30" s="99">
        <f t="shared" si="2"/>
        <v>17696.8</v>
      </c>
      <c r="J30" s="71" t="s">
        <v>281</v>
      </c>
      <c r="K30" s="99" t="e">
        <f>I30/SUM($E$11:E30)</f>
        <v>#DIV/0!</v>
      </c>
      <c r="L30" s="86" t="s">
        <v>167</v>
      </c>
      <c r="O30" s="70">
        <v>2353</v>
      </c>
    </row>
    <row r="31" spans="2:15" ht="32" x14ac:dyDescent="0.2">
      <c r="B31" s="39" t="s">
        <v>237</v>
      </c>
      <c r="C31" s="106" t="d">
        <v>2024-11-14</v>
      </c>
      <c r="D31" s="106"/>
      <c r="E31" s="83"/>
      <c r="F31" s="101">
        <v>311</v>
      </c>
      <c r="G31" s="99">
        <f>-197*4</f>
        <v>-788</v>
      </c>
      <c r="H31" s="83"/>
      <c r="I31" s="99">
        <f t="shared" si="2"/>
        <v>16908.8</v>
      </c>
      <c r="J31" s="71" t="s">
        <v>281</v>
      </c>
      <c r="K31" s="99" t="e">
        <f>I31/SUM($E$11:E31)</f>
        <v>#DIV/0!</v>
      </c>
      <c r="L31" s="86" t="s">
        <v>166</v>
      </c>
      <c r="O31" s="70">
        <v>2406</v>
      </c>
    </row>
    <row r="32" spans="2:15" ht="32" x14ac:dyDescent="0.2">
      <c r="B32" s="39" t="s">
        <v>238</v>
      </c>
      <c r="C32" s="106" t="d">
        <v>2024-11-20</v>
      </c>
      <c r="D32" s="106"/>
      <c r="E32" s="83"/>
      <c r="F32" s="101">
        <v>340</v>
      </c>
      <c r="G32" s="99">
        <f>-77*4</f>
        <v>-308</v>
      </c>
      <c r="H32" s="83"/>
      <c r="I32" s="99">
        <f t="shared" si="2"/>
        <v>16600.8</v>
      </c>
      <c r="J32" s="71" t="s">
        <v>281</v>
      </c>
      <c r="K32" s="99" t="e">
        <f>I32/SUM($E$11:E32)</f>
        <v>#DIV/0!</v>
      </c>
      <c r="L32" s="86" t="s">
        <v>165</v>
      </c>
      <c r="O32" s="70">
        <v>2082</v>
      </c>
    </row>
    <row r="33" spans="2:15" ht="32" x14ac:dyDescent="0.2">
      <c r="B33" s="39" t="s">
        <v>385</v>
      </c>
      <c r="C33" s="106" t="d">
        <v>2025-11-22</v>
      </c>
      <c r="D33" s="106"/>
      <c r="E33" s="83"/>
      <c r="F33" s="101">
        <v>348</v>
      </c>
      <c r="G33" s="99">
        <f>3493*4</f>
        <v>13972</v>
      </c>
      <c r="H33" s="83"/>
      <c r="I33" s="99">
        <f t="shared" si="2"/>
        <v>30572.799999999999</v>
      </c>
      <c r="J33" s="86" t="s">
        <v>281</v>
      </c>
      <c r="K33" s="99" t="e">
        <f>I33/SUM($E$11:E33)</f>
        <v>#DIV/0!</v>
      </c>
      <c r="O33" s="70">
        <v>2160</v>
      </c>
    </row>
    <row r="34" spans="2:15" ht="32" x14ac:dyDescent="0.2">
      <c r="B34" s="39" t="s">
        <v>386</v>
      </c>
      <c r="C34" s="106" t="d">
        <v>2025-01-07</v>
      </c>
      <c r="D34" s="106"/>
      <c r="E34" s="83"/>
      <c r="F34" s="101"/>
      <c r="G34" s="99">
        <f>33494</f>
        <v>33494</v>
      </c>
      <c r="H34" s="83"/>
      <c r="I34" s="99">
        <f t="shared" si="2"/>
        <v>64066.8</v>
      </c>
      <c r="J34" s="86" t="s">
        <v>281</v>
      </c>
      <c r="K34" s="99" t="e">
        <f>I34/SUM($E$11:E34)</f>
        <v>#DIV/0!</v>
      </c>
      <c r="O34" s="70">
        <v>1907</v>
      </c>
    </row>
    <row r="35" spans="2:15" ht="32" x14ac:dyDescent="0.2">
      <c r="B35" s="39" t="s">
        <v>387</v>
      </c>
      <c r="C35" s="106" t="d">
        <v>2025-01-23</v>
      </c>
      <c r="D35" s="106"/>
      <c r="E35" s="83"/>
      <c r="F35" s="101"/>
      <c r="G35" s="99">
        <f>-48*4</f>
        <v>-192</v>
      </c>
      <c r="H35" s="83"/>
      <c r="I35" s="99">
        <f t="shared" ref="I35:I66" si="3">I34+G35</f>
        <v>63874.8</v>
      </c>
      <c r="J35" s="86" t="s">
        <v>10</v>
      </c>
      <c r="K35" s="99" t="e">
        <f>I35/SUM($E$11:E35)</f>
        <v>#DIV/0!</v>
      </c>
    </row>
    <row r="36" spans="2:15" ht="16" x14ac:dyDescent="0.2">
      <c r="B36" s="39" t="s">
        <v>388</v>
      </c>
      <c r="C36" s="106" t="d">
        <v>2025-03-10</v>
      </c>
      <c r="D36" s="106"/>
      <c r="E36" s="83"/>
      <c r="F36" s="101"/>
      <c r="G36" s="99">
        <f>-79*2</f>
        <v>-158</v>
      </c>
      <c r="H36" s="83"/>
      <c r="I36" s="99">
        <f t="shared" si="3"/>
        <v>63716.800000000003</v>
      </c>
      <c r="J36" s="86" t="s">
        <v>10</v>
      </c>
      <c r="K36" s="99" t="e">
        <f>I36/SUM($E$11:E36)</f>
        <v>#DIV/0!</v>
      </c>
    </row>
    <row r="37" spans="2:15" ht="16" x14ac:dyDescent="0.2">
      <c r="B37" s="39" t="s">
        <v>389</v>
      </c>
      <c r="C37" s="106" t="d">
        <v>2025-03-10</v>
      </c>
      <c r="D37" s="106"/>
      <c r="E37" s="83"/>
      <c r="F37" s="101"/>
      <c r="G37" s="99">
        <f>-65*2</f>
        <v>-130</v>
      </c>
      <c r="H37" s="83"/>
      <c r="I37" s="99">
        <f t="shared" si="3"/>
        <v>63586.8</v>
      </c>
      <c r="J37" s="86" t="s">
        <v>10</v>
      </c>
      <c r="K37" s="99" t="e">
        <f>I37/SUM($E$11:E37)</f>
        <v>#DIV/0!</v>
      </c>
    </row>
    <row r="38" spans="2:15" ht="16" x14ac:dyDescent="0.2">
      <c r="B38" s="39" t="s">
        <v>390</v>
      </c>
      <c r="C38" s="106" t="d">
        <v>2025-03-19</v>
      </c>
      <c r="D38" s="106"/>
      <c r="E38" s="83"/>
      <c r="F38" s="101"/>
      <c r="G38" s="99">
        <v>-195</v>
      </c>
      <c r="H38" s="83"/>
      <c r="I38" s="99">
        <f t="shared" si="3"/>
        <v>63391.8</v>
      </c>
      <c r="J38" s="86" t="s">
        <v>281</v>
      </c>
      <c r="K38" s="99" t="e">
        <f>I38/SUM($E$11:E38)</f>
        <v>#DIV/0!</v>
      </c>
    </row>
    <row r="39" spans="2:15" ht="16" x14ac:dyDescent="0.2">
      <c r="B39" s="39" t="s">
        <v>391</v>
      </c>
      <c r="C39" s="106" t="d">
        <v>2025-03-20</v>
      </c>
      <c r="D39" s="106"/>
      <c r="E39" s="83"/>
      <c r="F39" s="101"/>
      <c r="G39" s="99">
        <f>-122*2</f>
        <v>-244</v>
      </c>
      <c r="H39" s="83"/>
      <c r="I39" s="99">
        <f t="shared" si="3"/>
        <v>63147.8</v>
      </c>
      <c r="J39" s="86" t="s">
        <v>281</v>
      </c>
      <c r="K39" s="99" t="e">
        <f>I39/SUM($E$11:E39)</f>
        <v>#DIV/0!</v>
      </c>
    </row>
    <row r="40" spans="2:15" ht="16" x14ac:dyDescent="0.2">
      <c r="B40" s="39" t="s">
        <v>392</v>
      </c>
      <c r="C40" s="106" t="d">
        <v>2025-03-21</v>
      </c>
      <c r="D40" s="106"/>
      <c r="E40" s="83"/>
      <c r="F40" s="101"/>
      <c r="G40" s="99">
        <v>-92</v>
      </c>
      <c r="H40" s="83"/>
      <c r="I40" s="99">
        <f t="shared" si="3"/>
        <v>63055.8</v>
      </c>
      <c r="J40" s="86" t="s">
        <v>10</v>
      </c>
      <c r="K40" s="99" t="e">
        <f>I40/SUM($E$11:E40)</f>
        <v>#DIV/0!</v>
      </c>
    </row>
    <row r="41" spans="2:15" ht="32" x14ac:dyDescent="0.2">
      <c r="B41" s="39" t="s">
        <v>393</v>
      </c>
      <c r="C41" s="106" t="d">
        <v>2025-03-25</v>
      </c>
      <c r="D41" s="106"/>
      <c r="E41" s="83"/>
      <c r="F41" s="101"/>
      <c r="G41" s="99">
        <f>-140*2</f>
        <v>-280</v>
      </c>
      <c r="H41" s="83"/>
      <c r="I41" s="99">
        <f t="shared" si="3"/>
        <v>62775.8</v>
      </c>
      <c r="J41" s="86" t="s">
        <v>281</v>
      </c>
      <c r="K41" s="99" t="e">
        <f>I41/SUM($E$11:E41)</f>
        <v>#DIV/0!</v>
      </c>
    </row>
    <row r="42" spans="2:15" ht="32" x14ac:dyDescent="0.2">
      <c r="B42" s="39" t="s">
        <v>394</v>
      </c>
      <c r="C42" s="106" t="d">
        <v>2025-03-25</v>
      </c>
      <c r="D42" s="106"/>
      <c r="E42" s="83"/>
      <c r="F42" s="101"/>
      <c r="G42" s="99">
        <v>-390</v>
      </c>
      <c r="H42" s="83"/>
      <c r="I42" s="99">
        <f t="shared" si="3"/>
        <v>62385.8</v>
      </c>
      <c r="J42" s="86" t="s">
        <v>281</v>
      </c>
      <c r="K42" s="99" t="e">
        <f>I42/SUM($E$11:E42)</f>
        <v>#DIV/0!</v>
      </c>
    </row>
    <row r="43" spans="2:15" ht="32" x14ac:dyDescent="0.2">
      <c r="B43" s="39" t="s">
        <v>433</v>
      </c>
      <c r="C43" s="106" t="d">
        <v>2025-03-26</v>
      </c>
      <c r="D43" s="106"/>
      <c r="E43" s="83"/>
      <c r="F43" s="101"/>
      <c r="G43" s="99">
        <f>-277*2</f>
        <v>-554</v>
      </c>
      <c r="H43" s="83"/>
      <c r="I43" s="99">
        <f t="shared" si="3"/>
        <v>61831.8</v>
      </c>
      <c r="J43" s="86" t="s">
        <v>10</v>
      </c>
      <c r="K43" s="99" t="e">
        <f>I43/SUM($E$11:E43)</f>
        <v>#DIV/0!</v>
      </c>
    </row>
    <row r="44" spans="2:15" ht="16" x14ac:dyDescent="0.2">
      <c r="B44" s="39" t="s">
        <v>395</v>
      </c>
      <c r="C44" s="106" t="d">
        <v>2025-04-17</v>
      </c>
      <c r="D44" s="106"/>
      <c r="E44" s="83"/>
      <c r="F44" s="101"/>
      <c r="G44" s="99">
        <f>-131*3</f>
        <v>-393</v>
      </c>
      <c r="H44" s="83"/>
      <c r="I44" s="99">
        <f t="shared" si="3"/>
        <v>61438.8</v>
      </c>
      <c r="J44" s="86" t="s">
        <v>10</v>
      </c>
      <c r="K44" s="99" t="e">
        <f>I44/SUM($E$11:E44)</f>
        <v>#DIV/0!</v>
      </c>
    </row>
    <row r="45" spans="2:15" ht="32" x14ac:dyDescent="0.2">
      <c r="B45" s="39" t="s">
        <v>396</v>
      </c>
      <c r="C45" s="106" t="d">
        <v>2025-04-25</v>
      </c>
      <c r="D45" s="106"/>
      <c r="E45" s="83"/>
      <c r="F45" s="101">
        <v>380</v>
      </c>
      <c r="G45" s="99">
        <v>-905</v>
      </c>
      <c r="H45" s="83"/>
      <c r="I45" s="99">
        <f t="shared" si="3"/>
        <v>60533.8</v>
      </c>
      <c r="J45" s="86" t="s">
        <v>281</v>
      </c>
      <c r="K45" s="99" t="e">
        <f>I45/SUM($E$11:E45)</f>
        <v>#DIV/0!</v>
      </c>
    </row>
    <row r="46" spans="2:15" ht="32" x14ac:dyDescent="0.2">
      <c r="B46" s="39" t="s">
        <v>432</v>
      </c>
      <c r="C46" s="106" t="d">
        <v>2025-05-02</v>
      </c>
      <c r="D46" s="106"/>
      <c r="E46" s="83"/>
      <c r="F46" s="101"/>
      <c r="G46" s="99">
        <v>-455</v>
      </c>
      <c r="H46" s="83"/>
      <c r="I46" s="99">
        <f t="shared" si="3"/>
        <v>60078.8</v>
      </c>
      <c r="J46" s="86" t="s">
        <v>281</v>
      </c>
      <c r="K46" s="99" t="e">
        <f>I46/SUM($E$11:E46)</f>
        <v>#DIV/0!</v>
      </c>
    </row>
    <row r="47" spans="2:15" ht="32" x14ac:dyDescent="0.2">
      <c r="B47" s="39" t="s">
        <v>434</v>
      </c>
      <c r="C47" s="106" t="d">
        <v>2025-05-08</v>
      </c>
      <c r="D47" s="106"/>
      <c r="E47" s="83"/>
      <c r="F47" s="101"/>
      <c r="G47" s="99">
        <v>-150</v>
      </c>
      <c r="H47" s="83"/>
      <c r="I47" s="99">
        <f t="shared" si="3"/>
        <v>59928.800000000003</v>
      </c>
      <c r="J47" s="86" t="s">
        <v>281</v>
      </c>
      <c r="K47" s="99" t="e">
        <f>I47/SUM($E$11:E47)</f>
        <v>#DIV/0!</v>
      </c>
    </row>
    <row r="48" spans="2:15" ht="32" x14ac:dyDescent="0.2">
      <c r="B48" s="39" t="s">
        <v>498</v>
      </c>
      <c r="C48" s="106" t="d">
        <v>2025-05-13</v>
      </c>
      <c r="D48" s="106"/>
      <c r="E48" s="83"/>
      <c r="F48" s="101"/>
      <c r="G48" s="99">
        <v>-225</v>
      </c>
      <c r="H48" s="83"/>
      <c r="I48" s="99">
        <f t="shared" si="3"/>
        <v>59703.8</v>
      </c>
      <c r="J48" s="86" t="s">
        <v>281</v>
      </c>
      <c r="K48" s="99" t="e">
        <f>I48/SUM($E$11:E48)</f>
        <v>#DIV/0!</v>
      </c>
    </row>
    <row r="49" spans="2:11" ht="16" x14ac:dyDescent="0.2">
      <c r="B49" s="39" t="s">
        <v>499</v>
      </c>
      <c r="C49" s="106" t="d">
        <v>2025-07-09</v>
      </c>
      <c r="D49" s="106"/>
      <c r="E49" s="83"/>
      <c r="F49" s="101"/>
      <c r="G49" s="99">
        <v>-171</v>
      </c>
      <c r="H49" s="83"/>
      <c r="I49" s="99">
        <f t="shared" si="3"/>
        <v>59532.800000000003</v>
      </c>
      <c r="J49" s="86" t="s">
        <v>10</v>
      </c>
      <c r="K49" s="99" t="e">
        <f>I49/SUM($E$11:E49)</f>
        <v>#DIV/0!</v>
      </c>
    </row>
    <row r="50" spans="2:11" ht="16" x14ac:dyDescent="0.2">
      <c r="B50" s="39" t="s">
        <v>500</v>
      </c>
      <c r="C50" s="106" t="d">
        <v>2025-07-14</v>
      </c>
      <c r="D50" s="106"/>
      <c r="E50" s="83"/>
      <c r="F50" s="101"/>
      <c r="G50" s="99">
        <v>-91</v>
      </c>
      <c r="H50" s="83"/>
      <c r="I50" s="99">
        <f t="shared" si="3"/>
        <v>59441.8</v>
      </c>
      <c r="J50" s="86" t="s">
        <v>10</v>
      </c>
      <c r="K50" s="99" t="e">
        <f>I50/SUM($E$11:E50)</f>
        <v>#DIV/0!</v>
      </c>
    </row>
    <row r="51" spans="2:11" ht="32" x14ac:dyDescent="0.2">
      <c r="B51" s="39" t="s">
        <v>501</v>
      </c>
      <c r="C51" s="106" t="d">
        <v>2025-07-18</v>
      </c>
      <c r="D51" s="106"/>
      <c r="E51" s="83"/>
      <c r="F51" s="101"/>
      <c r="G51" s="99">
        <v>-25</v>
      </c>
      <c r="H51" s="83"/>
      <c r="I51" s="99">
        <f t="shared" si="3"/>
        <v>59416.800000000003</v>
      </c>
      <c r="J51" s="86" t="s">
        <v>281</v>
      </c>
      <c r="K51" s="99" t="e">
        <f>I51/SUM($E$11:E51)</f>
        <v>#DIV/0!</v>
      </c>
    </row>
    <row r="52" spans="2:11" ht="32" x14ac:dyDescent="0.2">
      <c r="B52" s="39" t="s">
        <v>502</v>
      </c>
      <c r="C52" s="106" t="d">
        <v>2025-07-18</v>
      </c>
      <c r="D52" s="106"/>
      <c r="E52" s="83"/>
      <c r="F52" s="101"/>
      <c r="G52" s="99">
        <v>-27</v>
      </c>
      <c r="H52" s="83"/>
      <c r="I52" s="99">
        <f t="shared" si="3"/>
        <v>59389.8</v>
      </c>
      <c r="J52" s="86" t="s">
        <v>281</v>
      </c>
      <c r="K52" s="99" t="e">
        <f>I52/SUM($E$11:E52)</f>
        <v>#DIV/0!</v>
      </c>
    </row>
    <row r="53" spans="2:11" ht="32" x14ac:dyDescent="0.2">
      <c r="B53" s="39" t="s">
        <v>503</v>
      </c>
      <c r="C53" s="106" t="d">
        <v>2025-07-18</v>
      </c>
      <c r="D53" s="106"/>
      <c r="E53" s="83"/>
      <c r="F53" s="101"/>
      <c r="G53" s="99">
        <v>-55</v>
      </c>
      <c r="H53" s="83"/>
      <c r="I53" s="99">
        <f t="shared" si="3"/>
        <v>59334.8</v>
      </c>
      <c r="J53" s="86" t="s">
        <v>10</v>
      </c>
      <c r="K53" s="99" t="e">
        <f>I53/SUM($E$11:E53)</f>
        <v>#DIV/0!</v>
      </c>
    </row>
    <row r="54" spans="2:11" ht="16" x14ac:dyDescent="0.2">
      <c r="B54" s="39" t="s">
        <v>588</v>
      </c>
      <c r="C54" s="106" t="d">
        <v>2025-08-11</v>
      </c>
      <c r="D54" s="106"/>
      <c r="E54" s="83"/>
      <c r="F54" s="101"/>
      <c r="G54" s="99">
        <v>-220</v>
      </c>
      <c r="H54" s="83"/>
      <c r="I54" s="99">
        <f t="shared" si="3"/>
        <v>59114.8</v>
      </c>
      <c r="J54" s="86" t="s">
        <v>10</v>
      </c>
      <c r="K54" s="99" t="e">
        <f>I54/SUM($E$11:E54)</f>
        <v>#DIV/0!</v>
      </c>
    </row>
    <row r="55" spans="2:11" ht="16" x14ac:dyDescent="0.2">
      <c r="B55" s="39" t="s">
        <v>589</v>
      </c>
      <c r="C55" s="106" t="d">
        <v>2025-08-18</v>
      </c>
      <c r="D55" s="106"/>
      <c r="E55" s="83"/>
      <c r="F55" s="101"/>
      <c r="G55" s="99">
        <v>-104</v>
      </c>
      <c r="H55" s="83"/>
      <c r="I55" s="99">
        <f t="shared" si="3"/>
        <v>59010.8</v>
      </c>
      <c r="J55" s="86" t="s">
        <v>10</v>
      </c>
      <c r="K55" s="99" t="e">
        <f>I55/SUM($E$11:E55)</f>
        <v>#DIV/0!</v>
      </c>
    </row>
    <row r="56" spans="2:11" ht="16" x14ac:dyDescent="0.2">
      <c r="B56" s="39" t="s">
        <v>590</v>
      </c>
      <c r="C56" s="106" t="d">
        <v>2025-08-26</v>
      </c>
      <c r="D56" s="106"/>
      <c r="E56" s="83"/>
      <c r="F56" s="101"/>
      <c r="G56" s="99">
        <f>-229*2</f>
        <v>-458</v>
      </c>
      <c r="H56" s="83"/>
      <c r="I56" s="99">
        <f t="shared" si="3"/>
        <v>58552.800000000003</v>
      </c>
      <c r="J56" s="86" t="s">
        <v>10</v>
      </c>
      <c r="K56" s="99" t="e">
        <f>I56/SUM($E$11:E56)</f>
        <v>#DIV/0!</v>
      </c>
    </row>
    <row r="57" spans="2:11" ht="16" x14ac:dyDescent="0.2">
      <c r="B57" s="39" t="s">
        <v>591</v>
      </c>
      <c r="C57" s="106" t="d">
        <v>2025-09-12</v>
      </c>
      <c r="D57" s="106"/>
      <c r="E57" s="83"/>
      <c r="F57" s="101"/>
      <c r="G57" s="99">
        <f>-190*4</f>
        <v>-760</v>
      </c>
      <c r="H57" s="83"/>
      <c r="I57" s="99">
        <f t="shared" si="3"/>
        <v>57792.800000000003</v>
      </c>
      <c r="J57" s="86" t="s">
        <v>10</v>
      </c>
      <c r="K57" s="99" t="e">
        <f>I57/SUM($E$11:E57)</f>
        <v>#DIV/0!</v>
      </c>
    </row>
    <row r="58" spans="2:11" ht="16" x14ac:dyDescent="0.2">
      <c r="B58" s="39" t="s">
        <v>592</v>
      </c>
      <c r="C58" s="106" t="d">
        <v>2025-09-23</v>
      </c>
      <c r="D58" s="106"/>
      <c r="E58" s="83"/>
      <c r="F58" s="101"/>
      <c r="G58" s="99">
        <f>-267*2</f>
        <v>-534</v>
      </c>
      <c r="H58" s="83"/>
      <c r="I58" s="99">
        <f t="shared" si="3"/>
        <v>57258.8</v>
      </c>
      <c r="J58" s="86" t="s">
        <v>10</v>
      </c>
      <c r="K58" s="99" t="e">
        <f>I58/SUM($E$11:E58)</f>
        <v>#DIV/0!</v>
      </c>
    </row>
    <row r="59" spans="2:11" ht="16" x14ac:dyDescent="0.2">
      <c r="B59" s="39" t="s">
        <v>593</v>
      </c>
      <c r="C59" s="106" t="d">
        <v>2025-09-23</v>
      </c>
      <c r="D59" s="106"/>
      <c r="E59" s="83"/>
      <c r="F59" s="101"/>
      <c r="G59" s="99">
        <f>-281*2</f>
        <v>-562</v>
      </c>
      <c r="H59" s="83"/>
      <c r="I59" s="99">
        <f t="shared" si="3"/>
        <v>56696.800000000003</v>
      </c>
      <c r="J59" s="86" t="s">
        <v>10</v>
      </c>
      <c r="K59" s="99" t="e">
        <f>I59/SUM($E$11:E59)</f>
        <v>#DIV/0!</v>
      </c>
    </row>
    <row r="60" spans="2:11" ht="16" x14ac:dyDescent="0.2">
      <c r="B60" s="39" t="s">
        <v>594</v>
      </c>
      <c r="C60" s="106" t="d">
        <v>2025-10-07</v>
      </c>
      <c r="D60" s="106"/>
      <c r="E60" s="83"/>
      <c r="F60" s="101"/>
      <c r="G60" s="99">
        <f>-385*4</f>
        <v>-1540</v>
      </c>
      <c r="H60" s="83"/>
      <c r="I60" s="99">
        <f t="shared" si="3"/>
        <v>55156.800000000003</v>
      </c>
      <c r="J60" s="86"/>
      <c r="K60" s="99" t="e">
        <f>I60/SUM($E$11:E60)</f>
        <v>#DIV/0!</v>
      </c>
    </row>
    <row r="61" spans="2:11" x14ac:dyDescent="0.2">
      <c r="B61" s="68"/>
      <c r="C61" s="106"/>
      <c r="D61" s="106"/>
      <c r="E61" s="83"/>
      <c r="F61" s="101"/>
      <c r="G61" s="99">
        <v>0</v>
      </c>
      <c r="H61" s="83"/>
      <c r="I61" s="99">
        <f t="shared" si="3"/>
        <v>55156.800000000003</v>
      </c>
      <c r="J61" s="86"/>
      <c r="K61" s="99" t="e">
        <f>I61/SUM($E$11:E61)</f>
        <v>#DIV/0!</v>
      </c>
    </row>
    <row r="62" spans="2:11" x14ac:dyDescent="0.2">
      <c r="B62" s="68"/>
      <c r="C62" s="106"/>
      <c r="D62" s="106"/>
      <c r="E62" s="83"/>
      <c r="F62" s="101"/>
      <c r="G62" s="99">
        <v>0</v>
      </c>
      <c r="H62" s="83"/>
      <c r="I62" s="99">
        <f t="shared" si="3"/>
        <v>55156.800000000003</v>
      </c>
      <c r="J62" s="86"/>
      <c r="K62" s="99" t="e">
        <f>I62/SUM($E$11:E62)</f>
        <v>#DIV/0!</v>
      </c>
    </row>
    <row r="63" spans="2:11" x14ac:dyDescent="0.2">
      <c r="B63" s="68"/>
      <c r="C63" s="106"/>
      <c r="D63" s="106"/>
      <c r="E63" s="83"/>
      <c r="F63" s="101"/>
      <c r="G63" s="99">
        <v>0</v>
      </c>
      <c r="H63" s="83"/>
      <c r="I63" s="99">
        <f t="shared" si="3"/>
        <v>55156.800000000003</v>
      </c>
      <c r="J63" s="86"/>
      <c r="K63" s="99" t="e">
        <f>I63/SUM($E$11:E63)</f>
        <v>#DIV/0!</v>
      </c>
    </row>
    <row r="64" spans="2:11" x14ac:dyDescent="0.2">
      <c r="B64" s="68"/>
      <c r="C64" s="106"/>
      <c r="D64" s="106"/>
      <c r="E64" s="83"/>
      <c r="F64" s="101"/>
      <c r="G64" s="99">
        <v>0</v>
      </c>
      <c r="H64" s="83"/>
      <c r="I64" s="99">
        <f t="shared" si="3"/>
        <v>55156.800000000003</v>
      </c>
      <c r="J64" s="86"/>
      <c r="K64" s="99" t="e">
        <f>I64/SUM($E$11:E64)</f>
        <v>#DIV/0!</v>
      </c>
    </row>
    <row r="65" spans="2:11" x14ac:dyDescent="0.2">
      <c r="B65" s="68"/>
      <c r="C65" s="106"/>
      <c r="D65" s="106"/>
      <c r="E65" s="83"/>
      <c r="F65" s="101"/>
      <c r="G65" s="99">
        <v>0</v>
      </c>
      <c r="H65" s="83"/>
      <c r="I65" s="99">
        <f t="shared" si="3"/>
        <v>55156.800000000003</v>
      </c>
      <c r="J65" s="86"/>
      <c r="K65" s="99" t="e">
        <f>I65/SUM($E$11:E65)</f>
        <v>#DIV/0!</v>
      </c>
    </row>
    <row r="66" spans="2:11" x14ac:dyDescent="0.2">
      <c r="B66" s="68"/>
      <c r="C66" s="106"/>
      <c r="D66" s="106"/>
      <c r="E66" s="83"/>
      <c r="F66" s="84"/>
      <c r="G66" s="99">
        <v>0</v>
      </c>
      <c r="H66" s="83"/>
      <c r="I66" s="99">
        <f t="shared" si="3"/>
        <v>55156.800000000003</v>
      </c>
      <c r="J66" s="86"/>
      <c r="K66" s="99" t="e">
        <f>I66/SUM($E$11:E66)</f>
        <v>#DIV/0!</v>
      </c>
    </row>
    <row r="67" spans="2:11" x14ac:dyDescent="0.2">
      <c r="B67" s="68"/>
      <c r="C67" s="106"/>
      <c r="D67" s="106"/>
      <c r="E67" s="83"/>
      <c r="F67" s="84"/>
      <c r="G67" s="99">
        <v>0</v>
      </c>
      <c r="H67" s="69"/>
      <c r="I67" s="99">
        <f>I66+G67</f>
        <v>55156.800000000003</v>
      </c>
      <c r="J67" s="86"/>
      <c r="K67" s="99" t="e">
        <f>I67/SUM($E$11:E67)</f>
        <v>#DIV/0!</v>
      </c>
    </row>
    <row r="68" spans="2:11" x14ac:dyDescent="0.2">
      <c r="B68" s="68"/>
      <c r="C68" s="106"/>
      <c r="D68" s="106"/>
      <c r="E68" s="83"/>
      <c r="F68" s="84"/>
      <c r="G68" s="99">
        <v>0</v>
      </c>
      <c r="H68" s="69"/>
      <c r="I68" s="99">
        <f>I67+G68</f>
        <v>55156.800000000003</v>
      </c>
      <c r="J68" s="86"/>
      <c r="K68" s="99" t="e">
        <f>I68/SUM($E$11:E68)</f>
        <v>#DIV/0!</v>
      </c>
    </row>
    <row r="69" spans="2:11" x14ac:dyDescent="0.2">
      <c r="B69" s="68"/>
      <c r="C69" s="106"/>
      <c r="D69" s="106"/>
      <c r="E69" s="83"/>
      <c r="F69" s="84"/>
      <c r="G69" s="99">
        <v>0</v>
      </c>
      <c r="H69" s="69"/>
      <c r="I69" s="99">
        <f>I68+G69</f>
        <v>55156.800000000003</v>
      </c>
      <c r="J69" s="86"/>
      <c r="K69" s="99" t="e">
        <f>I69/SUM($E$11:E69)</f>
        <v>#DIV/0!</v>
      </c>
    </row>
    <row r="70" spans="2:11" ht="19" x14ac:dyDescent="0.2">
      <c r="B70" s="68"/>
      <c r="C70" s="106"/>
      <c r="D70" s="106"/>
      <c r="E70" s="83"/>
      <c r="F70" s="84"/>
      <c r="G70" s="104">
        <f>SUM(G25:G69)</f>
        <v>50949</v>
      </c>
      <c r="H70" s="69"/>
      <c r="I70" s="85"/>
      <c r="J70" s="86"/>
      <c r="K70" s="70"/>
    </row>
    <row r="71" spans="2:11" ht="4.75" customHeight="1" x14ac:dyDescent="0.2">
      <c r="B71" s="68"/>
      <c r="C71" s="106"/>
      <c r="D71" s="106"/>
      <c r="E71" s="83"/>
      <c r="F71" s="84"/>
      <c r="G71" s="85"/>
      <c r="H71" s="69"/>
      <c r="I71" s="69"/>
      <c r="J71" s="86"/>
      <c r="K71" s="83"/>
    </row>
    <row r="72" spans="2:11" ht="19" x14ac:dyDescent="0.2">
      <c r="B72" s="68"/>
      <c r="C72" s="106"/>
      <c r="D72" s="106"/>
      <c r="F72" s="103"/>
      <c r="H72" s="69"/>
      <c r="I72" s="69"/>
      <c r="J72" s="86"/>
      <c r="K72" s="83"/>
    </row>
  </sheetData>
  <mergeCells count="1">
    <mergeCell ref="B8:G8"/>
  </mergeCells>
  <conditionalFormatting sqref="B25:B60">
    <cfRule type="expression" dxfId="74" priority="1" stopIfTrue="1">
      <formula>J25="ROLL"</formula>
    </cfRule>
    <cfRule type="expression" dxfId="73" priority="2" stopIfTrue="1">
      <formula>AND(ISNUMBER(SEARCH("call", B25)), J25="expired")</formula>
    </cfRule>
    <cfRule type="expression" dxfId="72" priority="3" stopIfTrue="1">
      <formula>AND(ISNUMBER(SEARCH("call", B25)), J25="assigned")</formula>
    </cfRule>
    <cfRule type="expression" dxfId="71" priority="4" stopIfTrue="1">
      <formula>J25="assigned"</formula>
    </cfRule>
    <cfRule type="expression" dxfId="70" priority="5" stopIfTrue="1">
      <formula>J25="expired"</formula>
    </cfRule>
  </conditionalFormatting>
  <pageMargins left="0.7" right="0.7" top="0.75" bottom="0.75" header="0.3" footer="0.3"/>
  <pageSetup paperSize="0" orientation="portrait" r:id="rId1"/>
</worksheet>
</file>

<file path=xl/worksheets/sheet5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407E-C28A-2349-A56A-3269345D8D52}">
  <sheetPr codeName="Sheet25"/>
  <dimension ref="B1:K94"/>
  <sheetViews>
    <sheetView topLeftCell="A3" zoomScale="130" zoomScaleNormal="130" workbookViewId="0">
      <selection activeCell="C27" sqref="C27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customWidth="1"/>
    <col min="4" max="4" width="12.83203125" customWidth="1"/>
    <col min="5" max="5" width="10.83203125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</cols>
  <sheetData>
    <row r="1" spans="2:11" x14ac:dyDescent="0.2">
      <c r="B1" s="20"/>
    </row>
    <row r="2" spans="2:11" x14ac:dyDescent="0.2">
      <c r="B2" s="1"/>
      <c r="C2" s="2"/>
      <c r="D2" s="2"/>
      <c r="E2" s="2"/>
      <c r="F2" s="3"/>
      <c r="G2" s="4"/>
    </row>
    <row r="3" spans="2:11" ht="19" x14ac:dyDescent="0.25">
      <c r="B3" s="5"/>
      <c r="C3" s="6"/>
      <c r="D3" s="6"/>
      <c r="E3" s="6"/>
      <c r="F3" s="7" t="s">
        <v>0</v>
      </c>
      <c r="G3" s="8">
        <f>IF(ISERROR(SUM(G11:G53)/G4),SUM(G11:G53),SUM(G11:G53)/G4)</f>
        <v>6.9299999999999953</v>
      </c>
      <c r="H3" t="s">
        <v>1</v>
      </c>
      <c r="J3" s="30">
        <v>39.85</v>
      </c>
      <c r="K3" s="6"/>
    </row>
    <row r="4" spans="2:11" x14ac:dyDescent="0.2">
      <c r="B4" s="1"/>
      <c r="C4" s="2"/>
      <c r="D4" s="2"/>
      <c r="E4" s="2"/>
      <c r="F4" s="3" t="s">
        <v>2</v>
      </c>
      <c r="G4" s="9">
        <f>E94</f>
        <v>1</v>
      </c>
    </row>
    <row r="5" spans="2:11" ht="16" x14ac:dyDescent="0.2">
      <c r="B5" s="10" t="s">
        <v>198</v>
      </c>
      <c r="C5" s="2"/>
      <c r="D5" s="2"/>
      <c r="E5" s="2"/>
      <c r="F5" s="3"/>
      <c r="G5" s="4"/>
    </row>
    <row r="6" spans="2:11" x14ac:dyDescent="0.2">
      <c r="B6" s="15"/>
      <c r="C6" s="17"/>
      <c r="D6" s="17"/>
      <c r="E6" s="17"/>
      <c r="F6" s="18"/>
      <c r="G6" s="19"/>
      <c r="H6" s="20"/>
      <c r="I6" s="20"/>
      <c r="J6" s="31"/>
      <c r="K6" s="17"/>
    </row>
    <row r="7" spans="2:11" ht="6" customHeight="1" x14ac:dyDescent="0.2">
      <c r="B7" s="15"/>
      <c r="C7" s="17"/>
      <c r="D7" s="17"/>
      <c r="E7" s="17"/>
      <c r="F7" s="18"/>
      <c r="G7" s="19"/>
      <c r="H7" s="20"/>
      <c r="I7" s="20"/>
      <c r="J7" s="31"/>
      <c r="K7" s="17"/>
    </row>
    <row r="8" spans="2:11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1" x14ac:dyDescent="0.2">
      <c r="B9" s="12" t="s">
        <v>11</v>
      </c>
      <c r="C9" s="11" t="s">
        <v>6</v>
      </c>
      <c r="D9" s="11" t="s">
        <v>39</v>
      </c>
      <c r="E9" s="11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1" ht="5.5" customHeight="1" x14ac:dyDescent="0.2">
      <c r="B10" s="12"/>
      <c r="C10" s="11"/>
      <c r="D10" s="11"/>
      <c r="E10" s="11"/>
      <c r="F10" s="13"/>
      <c r="G10" s="14"/>
      <c r="H10" s="11"/>
      <c r="I10" s="11"/>
      <c r="J10" s="33"/>
      <c r="K10" s="11"/>
    </row>
    <row r="11" spans="2:11" x14ac:dyDescent="0.2">
      <c r="B11" s="15" t="s">
        <v>23</v>
      </c>
      <c r="C11" s="58" t="d">
        <v>2024-11-16</v>
      </c>
      <c r="D11" s="53"/>
      <c r="E11" s="17">
        <v>1</v>
      </c>
      <c r="F11" s="21">
        <v>15.37</v>
      </c>
      <c r="G11" s="127">
        <f>E11*F11</f>
        <v>15.37</v>
      </c>
      <c r="H11" s="20"/>
      <c r="I11" s="36">
        <f>G11</f>
        <v>15.37</v>
      </c>
      <c r="J11" s="31"/>
      <c r="K11" s="36">
        <f>I11/E11</f>
        <v>15.37</v>
      </c>
    </row>
    <row r="12" spans="2:11" x14ac:dyDescent="0.2">
      <c r="B12" s="15" t="s">
        <v>24</v>
      </c>
      <c r="C12" s="58" t="d">
        <v>2024-12-02</v>
      </c>
      <c r="D12" s="53"/>
      <c r="E12" s="17"/>
      <c r="F12" s="21"/>
      <c r="G12" s="127">
        <v>-1.22</v>
      </c>
      <c r="H12" s="20"/>
      <c r="I12" s="36">
        <f>I11+G12</f>
        <v>14.149999999999999</v>
      </c>
      <c r="J12" s="31"/>
      <c r="K12" s="36">
        <f>I12/SUM($E$11:E12)</f>
        <v>14.149999999999999</v>
      </c>
    </row>
    <row r="13" spans="2:11" x14ac:dyDescent="0.2">
      <c r="B13" s="15" t="s">
        <v>24</v>
      </c>
      <c r="C13" s="58" t="d">
        <v>2024-12-30</v>
      </c>
      <c r="D13" s="53"/>
      <c r="E13" s="17"/>
      <c r="F13" s="21"/>
      <c r="G13" s="127">
        <v>-1.29</v>
      </c>
      <c r="H13" s="20"/>
      <c r="I13" s="36">
        <f>I12+G13</f>
        <v>12.86</v>
      </c>
      <c r="J13" s="31"/>
      <c r="K13" s="36">
        <f>I13/SUM($E$11:E13)</f>
        <v>12.86</v>
      </c>
    </row>
    <row r="14" spans="2:11" x14ac:dyDescent="0.2">
      <c r="B14" s="15" t="s">
        <v>24</v>
      </c>
      <c r="C14" s="58" t="d">
        <v>2025-01-24</v>
      </c>
      <c r="D14" s="53"/>
      <c r="E14" s="17"/>
      <c r="F14" s="21"/>
      <c r="G14" s="127">
        <v>-0.72</v>
      </c>
      <c r="H14" s="20"/>
      <c r="I14" s="36">
        <f t="shared" ref="I14:I30" si="0">I13+G14</f>
        <v>12.139999999999999</v>
      </c>
      <c r="J14" s="31"/>
      <c r="K14" s="36">
        <f>I14/SUM($E$11:E14)</f>
        <v>12.139999999999999</v>
      </c>
    </row>
    <row r="15" spans="2:11" x14ac:dyDescent="0.2">
      <c r="B15" s="15" t="s">
        <v>24</v>
      </c>
      <c r="C15" s="58" t="d">
        <v>2025-02-21</v>
      </c>
      <c r="D15" s="53"/>
      <c r="E15" s="17"/>
      <c r="F15" s="21"/>
      <c r="G15" s="127">
        <v>-0.57999999999999996</v>
      </c>
      <c r="H15" s="20"/>
      <c r="I15" s="36">
        <f t="shared" si="0"/>
        <v>11.559999999999999</v>
      </c>
      <c r="J15" s="31"/>
      <c r="K15" s="36">
        <f>I15/SUM($E$11:E15)</f>
        <v>11.559999999999999</v>
      </c>
    </row>
    <row r="16" spans="2:11" x14ac:dyDescent="0.2">
      <c r="B16" s="15" t="s">
        <v>24</v>
      </c>
      <c r="C16" s="58" t="d">
        <v>2025-03-21</v>
      </c>
      <c r="D16" s="53"/>
      <c r="E16" s="17"/>
      <c r="F16" s="21"/>
      <c r="G16" s="127">
        <v>-0.46</v>
      </c>
      <c r="H16" s="20"/>
      <c r="I16" s="36">
        <f t="shared" si="0"/>
        <v>11.099999999999998</v>
      </c>
      <c r="J16" s="31"/>
      <c r="K16" s="36">
        <f>I16/SUM($E$11:E16)</f>
        <v>11.099999999999998</v>
      </c>
    </row>
    <row r="17" spans="2:11" x14ac:dyDescent="0.2">
      <c r="B17" s="15" t="s">
        <v>24</v>
      </c>
      <c r="C17" s="58" t="d">
        <v>2025-04-21</v>
      </c>
      <c r="D17" s="53"/>
      <c r="E17" s="17"/>
      <c r="F17" s="21"/>
      <c r="G17" s="127">
        <v>-0.66</v>
      </c>
      <c r="H17" s="20"/>
      <c r="I17" s="36">
        <f t="shared" si="0"/>
        <v>10.439999999999998</v>
      </c>
      <c r="J17" s="31"/>
      <c r="K17" s="36">
        <f>I17/SUM($E$11:E17)</f>
        <v>10.439999999999998</v>
      </c>
    </row>
    <row r="18" spans="2:11" x14ac:dyDescent="0.2">
      <c r="B18" s="15" t="s">
        <v>24</v>
      </c>
      <c r="C18" s="58" t="d">
        <v>2025-05-16</v>
      </c>
      <c r="D18" s="53"/>
      <c r="E18" s="17"/>
      <c r="F18" s="21"/>
      <c r="G18" s="127">
        <v>-0.76</v>
      </c>
      <c r="H18" s="20"/>
      <c r="I18" s="36">
        <f t="shared" si="0"/>
        <v>9.6799999999999979</v>
      </c>
      <c r="J18" s="31"/>
      <c r="K18" s="36">
        <f>I18/SUM($E$11:E18)</f>
        <v>9.6799999999999979</v>
      </c>
    </row>
    <row r="19" spans="2:11" x14ac:dyDescent="0.2">
      <c r="B19" s="15" t="s">
        <v>24</v>
      </c>
      <c r="C19" s="58" t="d">
        <v>2025-06-13</v>
      </c>
      <c r="D19" s="53"/>
      <c r="E19" s="17"/>
      <c r="F19" s="21"/>
      <c r="G19" s="127">
        <v>-0.4</v>
      </c>
      <c r="H19" s="20"/>
      <c r="I19" s="36">
        <f t="shared" si="0"/>
        <v>9.2799999999999976</v>
      </c>
      <c r="J19" s="31"/>
      <c r="K19" s="36">
        <f>I19/SUM($E$11:E19)</f>
        <v>9.2799999999999976</v>
      </c>
    </row>
    <row r="20" spans="2:11" x14ac:dyDescent="0.2">
      <c r="B20" s="15" t="s">
        <v>24</v>
      </c>
      <c r="C20" s="58" t="d">
        <v>2025-07-11</v>
      </c>
      <c r="D20" s="53"/>
      <c r="E20" s="17"/>
      <c r="F20" s="21"/>
      <c r="G20" s="127">
        <v>-0.39</v>
      </c>
      <c r="H20" s="20"/>
      <c r="I20" s="36">
        <f t="shared" si="0"/>
        <v>8.889999999999997</v>
      </c>
      <c r="J20" s="31"/>
      <c r="K20" s="36">
        <f>I20/SUM($E$11:E20)</f>
        <v>8.889999999999997</v>
      </c>
    </row>
    <row r="21" spans="2:11" x14ac:dyDescent="0.2">
      <c r="B21" s="15" t="s">
        <v>24</v>
      </c>
      <c r="C21" s="58" t="d">
        <v>2025-08-08</v>
      </c>
      <c r="D21" s="53"/>
      <c r="E21" s="17"/>
      <c r="F21" s="21"/>
      <c r="G21" s="127">
        <v>-0.3</v>
      </c>
      <c r="H21" s="20"/>
      <c r="I21" s="36">
        <f t="shared" si="0"/>
        <v>8.5899999999999963</v>
      </c>
      <c r="J21" s="31"/>
      <c r="K21" s="36">
        <f>I21/SUM($E$11:E21)</f>
        <v>8.5899999999999963</v>
      </c>
    </row>
    <row r="22" spans="2:11" x14ac:dyDescent="0.2">
      <c r="B22" s="15" t="s">
        <v>24</v>
      </c>
      <c r="C22" s="58" t="d">
        <v>2025-09-05</v>
      </c>
      <c r="D22" s="53"/>
      <c r="E22" s="17"/>
      <c r="F22" s="21"/>
      <c r="G22" s="127">
        <v>-0.39</v>
      </c>
      <c r="H22" s="20"/>
      <c r="I22" s="36">
        <f t="shared" si="0"/>
        <v>8.1999999999999957</v>
      </c>
      <c r="J22" s="31"/>
      <c r="K22" s="36">
        <f>I22/SUM($E$11:E22)</f>
        <v>8.1999999999999957</v>
      </c>
    </row>
    <row r="23" spans="2:11" x14ac:dyDescent="0.2">
      <c r="B23" s="15" t="s">
        <v>24</v>
      </c>
      <c r="C23" s="58" t="d">
        <v>2025-10-03</v>
      </c>
      <c r="D23" s="53"/>
      <c r="E23" s="17"/>
      <c r="F23" s="21"/>
      <c r="G23" s="127">
        <v>-0.8</v>
      </c>
      <c r="H23" s="20"/>
      <c r="I23" s="36">
        <f t="shared" si="0"/>
        <v>7.3999999999999959</v>
      </c>
      <c r="J23" s="31"/>
      <c r="K23" s="36">
        <f>I23/SUM($E$11:E23)</f>
        <v>7.3999999999999959</v>
      </c>
    </row>
    <row r="24" spans="2:11" x14ac:dyDescent="0.2">
      <c r="B24" s="15"/>
      <c r="C24" s="58" t="d">
        <v>2025-10-17</v>
      </c>
      <c r="D24" s="53"/>
      <c r="E24" s="17"/>
      <c r="F24" s="21"/>
      <c r="G24" s="127">
        <v>-0.19</v>
      </c>
      <c r="H24" s="20"/>
      <c r="I24" s="36">
        <f t="shared" si="0"/>
        <v>7.2099999999999955</v>
      </c>
      <c r="J24" s="31"/>
      <c r="K24" s="36">
        <f>I24/SUM($E$11:E24)</f>
        <v>7.2099999999999955</v>
      </c>
    </row>
    <row r="25" spans="2:11" x14ac:dyDescent="0.2">
      <c r="B25" s="15"/>
      <c r="C25" s="58" t="d">
        <v>2025-10-24</v>
      </c>
      <c r="D25" s="53"/>
      <c r="E25" s="17"/>
      <c r="F25" s="21"/>
      <c r="G25" s="127">
        <v>-0.17</v>
      </c>
      <c r="H25" s="20"/>
      <c r="I25" s="36">
        <f t="shared" si="0"/>
        <v>7.0399999999999956</v>
      </c>
      <c r="J25" s="31"/>
      <c r="K25" s="36">
        <f>I25/SUM($E$11:E25)</f>
        <v>7.0399999999999956</v>
      </c>
    </row>
    <row r="26" spans="2:11" x14ac:dyDescent="0.2">
      <c r="B26" s="15"/>
      <c r="C26" s="58" t="d">
        <v>2025-10-31</v>
      </c>
      <c r="D26" s="53"/>
      <c r="E26" s="17"/>
      <c r="F26" s="21"/>
      <c r="G26" s="127">
        <v>-0.11</v>
      </c>
      <c r="H26" s="20"/>
      <c r="I26" s="36">
        <f t="shared" si="0"/>
        <v>6.9299999999999953</v>
      </c>
      <c r="J26" s="31"/>
      <c r="K26" s="36">
        <f>I26/SUM($E$11:E26)</f>
        <v>6.9299999999999953</v>
      </c>
    </row>
    <row r="27" spans="2:11" x14ac:dyDescent="0.2">
      <c r="B27" s="15"/>
      <c r="C27" s="58"/>
      <c r="D27" s="53"/>
      <c r="E27" s="17"/>
      <c r="F27" s="21"/>
      <c r="G27" s="127"/>
      <c r="H27" s="20"/>
      <c r="I27" s="36">
        <f t="shared" si="0"/>
        <v>6.9299999999999953</v>
      </c>
      <c r="J27" s="31"/>
      <c r="K27" s="36">
        <f>I27/SUM($E$11:E27)</f>
        <v>6.9299999999999953</v>
      </c>
    </row>
    <row r="28" spans="2:11" x14ac:dyDescent="0.2">
      <c r="B28" s="15"/>
      <c r="C28" s="58"/>
      <c r="D28" s="53"/>
      <c r="E28" s="17"/>
      <c r="F28" s="21"/>
      <c r="G28" s="127"/>
      <c r="H28" s="20"/>
      <c r="I28" s="36">
        <f t="shared" si="0"/>
        <v>6.9299999999999953</v>
      </c>
      <c r="J28" s="31"/>
      <c r="K28" s="36">
        <f>I28/SUM($E$11:E28)</f>
        <v>6.9299999999999953</v>
      </c>
    </row>
    <row r="29" spans="2:11" x14ac:dyDescent="0.2">
      <c r="B29" s="15"/>
      <c r="C29" s="58"/>
      <c r="D29" s="53"/>
      <c r="E29" s="17"/>
      <c r="F29" s="21"/>
      <c r="G29" s="127"/>
      <c r="H29" s="20"/>
      <c r="I29" s="36">
        <f t="shared" si="0"/>
        <v>6.9299999999999953</v>
      </c>
      <c r="J29" s="31"/>
      <c r="K29" s="36">
        <f>I29/SUM($E$11:E29)</f>
        <v>6.9299999999999953</v>
      </c>
    </row>
    <row r="30" spans="2:11" x14ac:dyDescent="0.2">
      <c r="B30" s="15"/>
      <c r="C30" s="58"/>
      <c r="D30" s="53"/>
      <c r="E30" s="17"/>
      <c r="F30" s="21"/>
      <c r="G30" s="127"/>
      <c r="H30" s="20"/>
      <c r="I30" s="36">
        <f t="shared" si="0"/>
        <v>6.9299999999999953</v>
      </c>
      <c r="J30" s="31"/>
      <c r="K30" s="36">
        <f>I30/SUM($E$11:E30)</f>
        <v>6.9299999999999953</v>
      </c>
    </row>
    <row r="31" spans="2:11" x14ac:dyDescent="0.2">
      <c r="B31" s="15"/>
      <c r="C31" s="58"/>
      <c r="D31" s="53"/>
      <c r="E31" s="17"/>
      <c r="F31" s="18"/>
      <c r="G31" s="19"/>
      <c r="H31" s="20"/>
      <c r="I31" s="19"/>
      <c r="J31" s="31"/>
      <c r="K31" s="22">
        <f>SUM(G11:G31)/SUM(E11:E31)</f>
        <v>6.9299999999999953</v>
      </c>
    </row>
    <row r="32" spans="2:11" ht="6" customHeight="1" x14ac:dyDescent="0.2">
      <c r="B32" s="15"/>
      <c r="C32" s="58"/>
      <c r="D32" s="53"/>
      <c r="E32" s="17"/>
      <c r="F32" s="18"/>
      <c r="G32" s="19"/>
      <c r="H32" s="20"/>
      <c r="I32" s="20"/>
      <c r="J32" s="31"/>
      <c r="K32" s="17"/>
    </row>
    <row r="33" spans="2:11" ht="6.5" customHeight="1" x14ac:dyDescent="0.2">
      <c r="B33" s="15"/>
      <c r="C33" s="58"/>
      <c r="D33" s="53"/>
      <c r="E33" s="17"/>
      <c r="F33" s="18"/>
      <c r="G33" s="19"/>
      <c r="H33" s="20"/>
      <c r="I33" s="20"/>
      <c r="J33" s="31"/>
      <c r="K33" s="17"/>
    </row>
    <row r="34" spans="2:11" x14ac:dyDescent="0.2">
      <c r="B34" s="39"/>
      <c r="C34" s="58"/>
      <c r="D34" s="53"/>
      <c r="E34" s="17"/>
      <c r="F34" s="21">
        <v>36.1</v>
      </c>
      <c r="G34" s="36">
        <v>0</v>
      </c>
      <c r="H34" s="20"/>
      <c r="I34" s="36">
        <f>I13+G34</f>
        <v>12.86</v>
      </c>
      <c r="J34" s="31"/>
      <c r="K34" s="36">
        <f>I34/SUM($E$11:E34)</f>
        <v>12.86</v>
      </c>
    </row>
    <row r="35" spans="2:11" x14ac:dyDescent="0.2">
      <c r="B35" s="39"/>
      <c r="C35" s="58"/>
      <c r="D35" s="53"/>
      <c r="E35" s="17"/>
      <c r="F35" s="21"/>
      <c r="G35" s="36">
        <v>0</v>
      </c>
      <c r="H35" s="17"/>
      <c r="I35" s="36">
        <f>I34+G35</f>
        <v>12.86</v>
      </c>
      <c r="J35" s="31"/>
      <c r="K35" s="36">
        <f>I35/SUM($E$11:E35)</f>
        <v>12.86</v>
      </c>
    </row>
    <row r="36" spans="2:11" ht="16" customHeight="1" x14ac:dyDescent="0.2">
      <c r="B36" s="39"/>
      <c r="C36" s="58"/>
      <c r="D36" s="53"/>
      <c r="E36" s="17"/>
      <c r="G36" s="36">
        <v>0</v>
      </c>
      <c r="H36" s="17"/>
      <c r="I36" s="36">
        <f t="shared" ref="I36:I91" si="1">I35+G36</f>
        <v>12.86</v>
      </c>
      <c r="J36" s="31"/>
      <c r="K36" s="36">
        <f>I36/SUM($E$11:E36)</f>
        <v>12.86</v>
      </c>
    </row>
    <row r="37" spans="2:11" ht="16" customHeight="1" x14ac:dyDescent="0.2">
      <c r="B37" s="39"/>
      <c r="C37" s="58"/>
      <c r="D37" s="53"/>
      <c r="E37" s="17"/>
      <c r="F37" s="18"/>
      <c r="G37" s="36">
        <v>0</v>
      </c>
      <c r="H37" s="17"/>
      <c r="I37" s="36">
        <f t="shared" si="1"/>
        <v>12.86</v>
      </c>
      <c r="J37" s="31"/>
      <c r="K37" s="36">
        <f>I37/SUM($E$11:E37)</f>
        <v>12.86</v>
      </c>
    </row>
    <row r="38" spans="2:11" x14ac:dyDescent="0.2">
      <c r="B38" s="39"/>
      <c r="C38" s="58"/>
      <c r="D38" s="53"/>
      <c r="E38" s="17"/>
      <c r="F38" s="18"/>
      <c r="G38" s="36">
        <v>0</v>
      </c>
      <c r="H38" s="17"/>
      <c r="I38" s="36">
        <f t="shared" si="1"/>
        <v>12.86</v>
      </c>
      <c r="J38" s="31"/>
      <c r="K38" s="36">
        <f>I38/SUM($E$11:E38)</f>
        <v>12.86</v>
      </c>
    </row>
    <row r="39" spans="2:11" x14ac:dyDescent="0.2">
      <c r="B39" s="39"/>
      <c r="C39" s="58"/>
      <c r="D39" s="53">
        <v>4</v>
      </c>
      <c r="E39" s="17"/>
      <c r="F39" s="18">
        <v>40</v>
      </c>
      <c r="G39" s="36">
        <v>0</v>
      </c>
      <c r="H39" s="17"/>
      <c r="I39" s="36">
        <f t="shared" si="1"/>
        <v>12.86</v>
      </c>
      <c r="J39" s="31"/>
      <c r="K39" s="36">
        <f>I39/SUM($E$11:E39)</f>
        <v>12.86</v>
      </c>
    </row>
    <row r="40" spans="2:11" x14ac:dyDescent="0.2">
      <c r="B40" s="39"/>
      <c r="C40" s="58"/>
      <c r="D40" s="53"/>
      <c r="E40" s="17"/>
      <c r="F40" s="18"/>
      <c r="G40" s="36">
        <v>0</v>
      </c>
      <c r="H40" s="17"/>
      <c r="I40" s="36">
        <f t="shared" si="1"/>
        <v>12.86</v>
      </c>
      <c r="J40" s="31"/>
      <c r="K40" s="36">
        <f>I40/SUM($E$11:E40)</f>
        <v>12.86</v>
      </c>
    </row>
    <row r="41" spans="2:11" x14ac:dyDescent="0.2">
      <c r="B41" s="39"/>
      <c r="C41" s="58"/>
      <c r="D41" s="53"/>
      <c r="E41" s="17"/>
      <c r="F41" s="18"/>
      <c r="G41" s="36">
        <v>0</v>
      </c>
      <c r="H41" s="17"/>
      <c r="I41" s="36">
        <f t="shared" si="1"/>
        <v>12.86</v>
      </c>
      <c r="J41" s="31"/>
      <c r="K41" s="36">
        <f>I41/SUM($E$11:E41)</f>
        <v>12.86</v>
      </c>
    </row>
    <row r="42" spans="2:11" x14ac:dyDescent="0.2">
      <c r="B42" s="39"/>
      <c r="C42" s="58"/>
      <c r="D42" s="53"/>
      <c r="E42" s="17"/>
      <c r="F42" s="18"/>
      <c r="G42" s="36">
        <v>0</v>
      </c>
      <c r="H42" s="17"/>
      <c r="I42" s="36">
        <f t="shared" si="1"/>
        <v>12.86</v>
      </c>
      <c r="J42" s="31"/>
      <c r="K42" s="36">
        <f>I42/SUM($E$11:E42)</f>
        <v>12.86</v>
      </c>
    </row>
    <row r="43" spans="2:11" x14ac:dyDescent="0.2">
      <c r="B43" s="39"/>
      <c r="C43" s="58"/>
      <c r="D43" s="53"/>
      <c r="E43" s="17"/>
      <c r="F43" s="18"/>
      <c r="G43" s="36">
        <v>0</v>
      </c>
      <c r="H43" s="17"/>
      <c r="I43" s="36">
        <f t="shared" si="1"/>
        <v>12.86</v>
      </c>
      <c r="J43" s="31"/>
      <c r="K43" s="36">
        <f>I43/SUM($E$11:E43)</f>
        <v>12.86</v>
      </c>
    </row>
    <row r="44" spans="2:11" x14ac:dyDescent="0.2">
      <c r="B44" s="39"/>
      <c r="C44" s="58"/>
      <c r="D44" s="53"/>
      <c r="E44" s="17"/>
      <c r="F44" s="18"/>
      <c r="G44" s="36">
        <v>0</v>
      </c>
      <c r="H44" s="17"/>
      <c r="I44" s="36">
        <f t="shared" si="1"/>
        <v>12.86</v>
      </c>
      <c r="J44" s="31"/>
      <c r="K44" s="36">
        <f>I44/SUM($E$11:E44)</f>
        <v>12.86</v>
      </c>
    </row>
    <row r="45" spans="2:11" x14ac:dyDescent="0.2">
      <c r="B45" s="39"/>
      <c r="C45" s="58"/>
      <c r="D45" s="53"/>
      <c r="E45" s="17"/>
      <c r="F45" s="18"/>
      <c r="G45" s="36">
        <v>0</v>
      </c>
      <c r="H45" s="17"/>
      <c r="I45" s="36">
        <f t="shared" si="1"/>
        <v>12.86</v>
      </c>
      <c r="J45" s="31"/>
      <c r="K45" s="36">
        <f>I45/SUM($E$11:E45)</f>
        <v>12.86</v>
      </c>
    </row>
    <row r="46" spans="2:11" x14ac:dyDescent="0.2">
      <c r="B46" s="39"/>
      <c r="C46" s="58"/>
      <c r="D46" s="53"/>
      <c r="E46" s="17"/>
      <c r="F46" s="18"/>
      <c r="G46" s="36">
        <v>0</v>
      </c>
      <c r="H46" s="17"/>
      <c r="I46" s="36">
        <f t="shared" si="1"/>
        <v>12.86</v>
      </c>
      <c r="J46" s="31"/>
      <c r="K46" s="36">
        <f>I46/SUM($E$11:E46)</f>
        <v>12.86</v>
      </c>
    </row>
    <row r="47" spans="2:11" x14ac:dyDescent="0.2">
      <c r="B47" s="39"/>
      <c r="C47" s="58"/>
      <c r="D47" s="53"/>
      <c r="E47" s="17"/>
      <c r="F47" s="18"/>
      <c r="G47" s="36">
        <v>0</v>
      </c>
      <c r="H47" s="17"/>
      <c r="I47" s="36">
        <f t="shared" si="1"/>
        <v>12.86</v>
      </c>
      <c r="J47" s="31"/>
      <c r="K47" s="36">
        <f>I47/SUM($E$11:E47)</f>
        <v>12.86</v>
      </c>
    </row>
    <row r="48" spans="2:11" x14ac:dyDescent="0.2">
      <c r="B48" s="39"/>
      <c r="C48" s="58"/>
      <c r="D48" s="53"/>
      <c r="E48" s="17"/>
      <c r="F48" s="18"/>
      <c r="G48" s="36">
        <v>0</v>
      </c>
      <c r="H48" s="17"/>
      <c r="I48" s="36">
        <f t="shared" si="1"/>
        <v>12.86</v>
      </c>
      <c r="J48" s="31"/>
      <c r="K48" s="36">
        <f>I48/SUM($E$11:E48)</f>
        <v>12.86</v>
      </c>
    </row>
    <row r="49" spans="2:11" x14ac:dyDescent="0.2">
      <c r="B49" s="39"/>
      <c r="C49" s="58"/>
      <c r="D49" s="53"/>
      <c r="E49" s="17"/>
      <c r="F49" s="18"/>
      <c r="G49" s="36">
        <v>0</v>
      </c>
      <c r="H49" s="17"/>
      <c r="I49" s="36">
        <f t="shared" si="1"/>
        <v>12.86</v>
      </c>
      <c r="J49" s="31"/>
      <c r="K49" s="36">
        <f>I49/SUM($E$11:E49)</f>
        <v>12.86</v>
      </c>
    </row>
    <row r="50" spans="2:11" x14ac:dyDescent="0.2">
      <c r="B50" s="39"/>
      <c r="C50" s="58"/>
      <c r="D50" s="16"/>
      <c r="E50" s="17"/>
      <c r="F50" s="18"/>
      <c r="G50" s="36">
        <v>0</v>
      </c>
      <c r="H50" s="17"/>
      <c r="I50" s="36">
        <f t="shared" si="1"/>
        <v>12.86</v>
      </c>
      <c r="J50" s="31"/>
      <c r="K50" s="36">
        <f>I50/SUM($E$11:E50)</f>
        <v>12.86</v>
      </c>
    </row>
    <row r="51" spans="2:11" x14ac:dyDescent="0.2">
      <c r="B51" s="39"/>
      <c r="C51" s="58"/>
      <c r="D51" s="16"/>
      <c r="E51" s="17"/>
      <c r="F51" s="18"/>
      <c r="G51" s="36">
        <v>0</v>
      </c>
      <c r="H51" s="17"/>
      <c r="I51" s="36">
        <f t="shared" si="1"/>
        <v>12.86</v>
      </c>
      <c r="J51" s="31"/>
      <c r="K51" s="36">
        <f>I51/SUM($E$11:E51)</f>
        <v>12.86</v>
      </c>
    </row>
    <row r="52" spans="2:11" x14ac:dyDescent="0.2">
      <c r="B52" s="68"/>
      <c r="C52" s="58"/>
      <c r="D52" s="16"/>
      <c r="E52" s="17"/>
      <c r="F52" s="18"/>
      <c r="G52" s="36">
        <v>0</v>
      </c>
      <c r="H52" s="17"/>
      <c r="I52" s="36">
        <f t="shared" si="1"/>
        <v>12.86</v>
      </c>
      <c r="J52" s="31"/>
      <c r="K52" s="36">
        <f>I52/SUM($E$11:E52)</f>
        <v>12.86</v>
      </c>
    </row>
    <row r="53" spans="2:11" x14ac:dyDescent="0.2">
      <c r="B53" s="68"/>
      <c r="C53" s="58"/>
      <c r="D53" s="16"/>
      <c r="E53" s="17"/>
      <c r="F53" s="18"/>
      <c r="G53" s="36">
        <v>0</v>
      </c>
      <c r="H53" s="20"/>
      <c r="I53" s="36">
        <f t="shared" si="1"/>
        <v>12.86</v>
      </c>
      <c r="J53" s="31"/>
      <c r="K53" s="36">
        <f>I53/SUM($E$11:E53)</f>
        <v>12.86</v>
      </c>
    </row>
    <row r="54" spans="2:11" x14ac:dyDescent="0.2">
      <c r="B54" s="68"/>
      <c r="C54" s="58"/>
      <c r="D54" s="16"/>
      <c r="E54" s="17"/>
      <c r="F54" s="18"/>
      <c r="G54" s="36">
        <v>0</v>
      </c>
      <c r="H54" s="20"/>
      <c r="I54" s="36">
        <f t="shared" si="1"/>
        <v>12.86</v>
      </c>
      <c r="J54" s="31"/>
      <c r="K54" s="36">
        <f>I54/SUM($E$11:E54)</f>
        <v>12.86</v>
      </c>
    </row>
    <row r="55" spans="2:11" x14ac:dyDescent="0.2">
      <c r="B55" s="68"/>
      <c r="C55" s="58"/>
      <c r="D55" s="16"/>
      <c r="E55" s="17"/>
      <c r="F55" s="18"/>
      <c r="G55" s="36">
        <v>0</v>
      </c>
      <c r="H55" s="20"/>
      <c r="I55" s="36">
        <f t="shared" si="1"/>
        <v>12.86</v>
      </c>
      <c r="J55" s="31"/>
      <c r="K55" s="36">
        <f>I55/SUM($E$11:E55)</f>
        <v>12.86</v>
      </c>
    </row>
    <row r="56" spans="2:11" x14ac:dyDescent="0.2">
      <c r="B56" s="68"/>
      <c r="C56" s="58"/>
      <c r="D56" s="16"/>
      <c r="E56" s="17"/>
      <c r="F56" s="18"/>
      <c r="G56" s="36">
        <v>0</v>
      </c>
      <c r="H56" s="20"/>
      <c r="I56" s="36">
        <f t="shared" si="1"/>
        <v>12.86</v>
      </c>
      <c r="J56" s="31"/>
      <c r="K56" s="36">
        <f>I56/SUM($E$11:E56)</f>
        <v>12.86</v>
      </c>
    </row>
    <row r="57" spans="2:11" x14ac:dyDescent="0.2">
      <c r="B57" s="68"/>
      <c r="C57" s="58"/>
      <c r="D57" s="16"/>
      <c r="E57" s="17"/>
      <c r="F57" s="18"/>
      <c r="G57" s="36">
        <v>0</v>
      </c>
      <c r="H57" s="20"/>
      <c r="I57" s="36">
        <f t="shared" si="1"/>
        <v>12.86</v>
      </c>
      <c r="J57" s="31"/>
      <c r="K57" s="36">
        <f>I57/SUM($E$11:E57)</f>
        <v>12.86</v>
      </c>
    </row>
    <row r="58" spans="2:11" x14ac:dyDescent="0.2">
      <c r="B58" s="68"/>
      <c r="C58" s="58"/>
      <c r="D58" s="16"/>
      <c r="E58" s="17"/>
      <c r="F58" s="18"/>
      <c r="G58" s="36">
        <v>0</v>
      </c>
      <c r="H58" s="20"/>
      <c r="I58" s="36">
        <f t="shared" si="1"/>
        <v>12.86</v>
      </c>
      <c r="J58" s="31"/>
      <c r="K58" s="36">
        <f>I58/SUM($E$11:E58)</f>
        <v>12.86</v>
      </c>
    </row>
    <row r="59" spans="2:11" x14ac:dyDescent="0.2">
      <c r="B59" s="68"/>
      <c r="C59" s="58"/>
      <c r="D59" s="16"/>
      <c r="E59" s="17"/>
      <c r="F59" s="18"/>
      <c r="G59" s="36">
        <v>0</v>
      </c>
      <c r="H59" s="20"/>
      <c r="I59" s="36">
        <f t="shared" si="1"/>
        <v>12.86</v>
      </c>
      <c r="J59" s="31"/>
      <c r="K59" s="36">
        <f>I59/SUM($E$11:E59)</f>
        <v>12.86</v>
      </c>
    </row>
    <row r="60" spans="2:11" x14ac:dyDescent="0.2">
      <c r="B60" s="68"/>
      <c r="C60" s="58"/>
      <c r="D60" s="16"/>
      <c r="E60" s="17"/>
      <c r="F60" s="18"/>
      <c r="G60" s="36">
        <v>0</v>
      </c>
      <c r="H60" s="20"/>
      <c r="I60" s="36">
        <f t="shared" si="1"/>
        <v>12.86</v>
      </c>
      <c r="J60" s="31"/>
      <c r="K60" s="36">
        <f>I60/SUM($E$11:E60)</f>
        <v>12.86</v>
      </c>
    </row>
    <row r="61" spans="2:11" x14ac:dyDescent="0.2">
      <c r="B61" s="68"/>
      <c r="C61" s="58"/>
      <c r="D61" s="16"/>
      <c r="E61" s="17"/>
      <c r="F61" s="18"/>
      <c r="G61" s="36">
        <v>0</v>
      </c>
      <c r="H61" s="20"/>
      <c r="I61" s="36">
        <f t="shared" si="1"/>
        <v>12.86</v>
      </c>
      <c r="J61" s="31"/>
      <c r="K61" s="36">
        <f>I61/SUM($E$11:E61)</f>
        <v>12.86</v>
      </c>
    </row>
    <row r="62" spans="2:11" x14ac:dyDescent="0.2">
      <c r="B62" s="68"/>
      <c r="C62" s="58"/>
      <c r="D62" s="16"/>
      <c r="E62" s="17"/>
      <c r="F62" s="18"/>
      <c r="G62" s="36">
        <v>0</v>
      </c>
      <c r="H62" s="20"/>
      <c r="I62" s="36">
        <f t="shared" si="1"/>
        <v>12.86</v>
      </c>
      <c r="J62" s="31"/>
      <c r="K62" s="36">
        <f>I62/SUM($E$11:E62)</f>
        <v>12.86</v>
      </c>
    </row>
    <row r="63" spans="2:11" x14ac:dyDescent="0.2">
      <c r="B63" s="68"/>
      <c r="C63" s="58"/>
      <c r="D63" s="16"/>
      <c r="E63" s="17"/>
      <c r="F63" s="18"/>
      <c r="G63" s="36">
        <v>0</v>
      </c>
      <c r="H63" s="20"/>
      <c r="I63" s="36">
        <f t="shared" si="1"/>
        <v>12.86</v>
      </c>
      <c r="J63" s="31"/>
      <c r="K63" s="36">
        <f>I63/SUM($E$11:E63)</f>
        <v>12.86</v>
      </c>
    </row>
    <row r="64" spans="2:11" x14ac:dyDescent="0.2">
      <c r="B64" s="68"/>
      <c r="C64" s="58"/>
      <c r="D64" s="16"/>
      <c r="E64" s="17"/>
      <c r="F64" s="18"/>
      <c r="G64" s="36">
        <v>0</v>
      </c>
      <c r="H64" s="20"/>
      <c r="I64" s="36">
        <f t="shared" si="1"/>
        <v>12.86</v>
      </c>
      <c r="J64" s="31"/>
      <c r="K64" s="36">
        <f>I64/SUM($E$11:E64)</f>
        <v>12.86</v>
      </c>
    </row>
    <row r="65" spans="2:11" x14ac:dyDescent="0.2">
      <c r="B65" s="68"/>
      <c r="C65" s="58"/>
      <c r="D65" s="16"/>
      <c r="E65" s="17"/>
      <c r="F65" s="18"/>
      <c r="G65" s="36">
        <v>0</v>
      </c>
      <c r="H65" s="20"/>
      <c r="I65" s="36">
        <f t="shared" si="1"/>
        <v>12.86</v>
      </c>
      <c r="J65" s="31"/>
      <c r="K65" s="36">
        <f>I65/SUM($E$11:E65)</f>
        <v>12.86</v>
      </c>
    </row>
    <row r="66" spans="2:11" x14ac:dyDescent="0.2">
      <c r="B66" s="68"/>
      <c r="C66" s="58"/>
      <c r="D66" s="16"/>
      <c r="E66" s="17"/>
      <c r="F66" s="18"/>
      <c r="G66" s="36">
        <v>0</v>
      </c>
      <c r="H66" s="20"/>
      <c r="I66" s="36">
        <f t="shared" si="1"/>
        <v>12.86</v>
      </c>
      <c r="J66" s="31"/>
      <c r="K66" s="36">
        <f>I66/SUM($E$11:E66)</f>
        <v>12.86</v>
      </c>
    </row>
    <row r="67" spans="2:11" x14ac:dyDescent="0.2">
      <c r="B67" s="68"/>
      <c r="C67" s="58"/>
      <c r="D67" s="16"/>
      <c r="E67" s="17"/>
      <c r="F67" s="18"/>
      <c r="G67" s="36">
        <v>0</v>
      </c>
      <c r="H67" s="20"/>
      <c r="I67" s="36">
        <f t="shared" si="1"/>
        <v>12.86</v>
      </c>
      <c r="J67" s="31"/>
      <c r="K67" s="36">
        <f>I67/SUM($E$11:E67)</f>
        <v>12.86</v>
      </c>
    </row>
    <row r="68" spans="2:11" x14ac:dyDescent="0.2">
      <c r="B68" s="68"/>
      <c r="C68" s="58"/>
      <c r="D68" s="16"/>
      <c r="E68" s="17"/>
      <c r="F68" s="18"/>
      <c r="G68" s="36">
        <v>0</v>
      </c>
      <c r="H68" s="20"/>
      <c r="I68" s="36">
        <f t="shared" si="1"/>
        <v>12.86</v>
      </c>
      <c r="J68" s="31"/>
      <c r="K68" s="36">
        <f>I68/SUM($E$11:E68)</f>
        <v>12.86</v>
      </c>
    </row>
    <row r="69" spans="2:11" x14ac:dyDescent="0.2">
      <c r="B69" s="68"/>
      <c r="C69" s="58"/>
      <c r="D69" s="16"/>
      <c r="E69" s="17"/>
      <c r="F69" s="18"/>
      <c r="G69" s="36">
        <v>0</v>
      </c>
      <c r="H69" s="20"/>
      <c r="I69" s="36">
        <f t="shared" si="1"/>
        <v>12.86</v>
      </c>
      <c r="J69" s="31"/>
      <c r="K69" s="36">
        <f>I69/SUM($E$11:E69)</f>
        <v>12.86</v>
      </c>
    </row>
    <row r="70" spans="2:11" x14ac:dyDescent="0.2">
      <c r="B70" s="68"/>
      <c r="C70" s="58"/>
      <c r="D70" s="16"/>
      <c r="E70" s="17"/>
      <c r="F70" s="18"/>
      <c r="G70" s="36">
        <v>0</v>
      </c>
      <c r="H70" s="20"/>
      <c r="I70" s="36">
        <f t="shared" si="1"/>
        <v>12.86</v>
      </c>
      <c r="J70" s="31"/>
      <c r="K70" s="36">
        <f>I70/SUM($E$11:E70)</f>
        <v>12.86</v>
      </c>
    </row>
    <row r="71" spans="2:11" x14ac:dyDescent="0.2">
      <c r="B71" s="68"/>
      <c r="C71" s="58"/>
      <c r="D71" s="16"/>
      <c r="E71" s="17"/>
      <c r="F71" s="18"/>
      <c r="G71" s="36">
        <v>0</v>
      </c>
      <c r="H71" s="20"/>
      <c r="I71" s="36">
        <f t="shared" si="1"/>
        <v>12.86</v>
      </c>
      <c r="J71" s="31"/>
      <c r="K71" s="36">
        <f>I71/SUM($E$11:E71)</f>
        <v>12.86</v>
      </c>
    </row>
    <row r="72" spans="2:11" x14ac:dyDescent="0.2">
      <c r="B72" s="68"/>
      <c r="C72" s="58"/>
      <c r="D72" s="16"/>
      <c r="E72" s="17"/>
      <c r="F72" s="18"/>
      <c r="G72" s="36">
        <v>0</v>
      </c>
      <c r="H72" s="20"/>
      <c r="I72" s="36">
        <f t="shared" si="1"/>
        <v>12.86</v>
      </c>
      <c r="J72" s="31"/>
      <c r="K72" s="36">
        <f>I72/SUM($E$11:E72)</f>
        <v>12.86</v>
      </c>
    </row>
    <row r="73" spans="2:11" x14ac:dyDescent="0.2">
      <c r="B73" s="68"/>
      <c r="C73" s="58"/>
      <c r="D73" s="16"/>
      <c r="E73" s="17"/>
      <c r="F73" s="18"/>
      <c r="G73" s="36">
        <v>0</v>
      </c>
      <c r="H73" s="20"/>
      <c r="I73" s="36">
        <f t="shared" si="1"/>
        <v>12.86</v>
      </c>
      <c r="J73" s="31"/>
      <c r="K73" s="36">
        <f>I73/SUM($E$11:E73)</f>
        <v>12.86</v>
      </c>
    </row>
    <row r="74" spans="2:11" x14ac:dyDescent="0.2">
      <c r="B74" s="68"/>
      <c r="C74" s="58"/>
      <c r="D74" s="16"/>
      <c r="E74" s="17"/>
      <c r="F74" s="18"/>
      <c r="G74" s="36">
        <v>0</v>
      </c>
      <c r="H74" s="20"/>
      <c r="I74" s="36">
        <f t="shared" si="1"/>
        <v>12.86</v>
      </c>
      <c r="J74" s="31"/>
      <c r="K74" s="36">
        <f>I74/SUM($E$11:E74)</f>
        <v>12.86</v>
      </c>
    </row>
    <row r="75" spans="2:11" x14ac:dyDescent="0.2">
      <c r="B75" s="68"/>
      <c r="C75" s="58"/>
      <c r="D75" s="16"/>
      <c r="E75" s="17"/>
      <c r="F75" s="18"/>
      <c r="G75" s="36">
        <v>0</v>
      </c>
      <c r="H75" s="20"/>
      <c r="I75" s="36">
        <f t="shared" si="1"/>
        <v>12.86</v>
      </c>
      <c r="J75" s="31"/>
      <c r="K75" s="36">
        <f>I75/SUM($E$11:E75)</f>
        <v>12.86</v>
      </c>
    </row>
    <row r="76" spans="2:11" x14ac:dyDescent="0.2">
      <c r="B76" s="68"/>
      <c r="C76" s="58"/>
      <c r="D76" s="16"/>
      <c r="E76" s="17"/>
      <c r="F76" s="18"/>
      <c r="G76" s="36">
        <v>0</v>
      </c>
      <c r="H76" s="20"/>
      <c r="I76" s="36">
        <f t="shared" si="1"/>
        <v>12.86</v>
      </c>
      <c r="J76" s="31"/>
      <c r="K76" s="36">
        <f>I76/SUM($E$11:E76)</f>
        <v>12.86</v>
      </c>
    </row>
    <row r="77" spans="2:11" x14ac:dyDescent="0.2">
      <c r="B77" s="68"/>
      <c r="C77" s="58"/>
      <c r="D77" s="16"/>
      <c r="E77" s="17"/>
      <c r="F77" s="18"/>
      <c r="G77" s="36">
        <v>0</v>
      </c>
      <c r="H77" s="20"/>
      <c r="I77" s="36">
        <f t="shared" si="1"/>
        <v>12.86</v>
      </c>
      <c r="J77" s="31"/>
      <c r="K77" s="36">
        <f>I77/SUM($E$11:E77)</f>
        <v>12.86</v>
      </c>
    </row>
    <row r="78" spans="2:11" x14ac:dyDescent="0.2">
      <c r="B78" s="68"/>
      <c r="C78" s="58"/>
      <c r="D78" s="16"/>
      <c r="E78" s="17"/>
      <c r="F78" s="18"/>
      <c r="G78" s="36">
        <v>0</v>
      </c>
      <c r="H78" s="20"/>
      <c r="I78" s="36">
        <f t="shared" si="1"/>
        <v>12.86</v>
      </c>
      <c r="J78" s="31"/>
      <c r="K78" s="36">
        <f>I78/SUM($E$11:E78)</f>
        <v>12.86</v>
      </c>
    </row>
    <row r="79" spans="2:11" x14ac:dyDescent="0.2">
      <c r="B79" s="68"/>
      <c r="C79" s="58"/>
      <c r="D79" s="16"/>
      <c r="E79" s="17"/>
      <c r="F79" s="18"/>
      <c r="G79" s="36">
        <v>0</v>
      </c>
      <c r="H79" s="20"/>
      <c r="I79" s="36">
        <f t="shared" si="1"/>
        <v>12.86</v>
      </c>
      <c r="J79" s="31"/>
      <c r="K79" s="36">
        <f>I79/SUM($E$11:E79)</f>
        <v>12.86</v>
      </c>
    </row>
    <row r="80" spans="2:11" x14ac:dyDescent="0.2">
      <c r="B80" s="68"/>
      <c r="C80" s="58"/>
      <c r="D80" s="16"/>
      <c r="E80" s="17"/>
      <c r="F80" s="18"/>
      <c r="G80" s="36">
        <v>0</v>
      </c>
      <c r="H80" s="20"/>
      <c r="I80" s="36">
        <f t="shared" si="1"/>
        <v>12.86</v>
      </c>
      <c r="J80" s="31"/>
      <c r="K80" s="36">
        <f>I80/SUM($E$11:E80)</f>
        <v>12.86</v>
      </c>
    </row>
    <row r="81" spans="2:11" x14ac:dyDescent="0.2">
      <c r="B81" s="68"/>
      <c r="C81" s="58"/>
      <c r="D81" s="16"/>
      <c r="E81" s="17"/>
      <c r="F81" s="18"/>
      <c r="G81" s="36">
        <v>0</v>
      </c>
      <c r="H81" s="20"/>
      <c r="I81" s="36">
        <f t="shared" si="1"/>
        <v>12.86</v>
      </c>
      <c r="J81" s="31"/>
      <c r="K81" s="36">
        <f>I81/SUM($E$11:E81)</f>
        <v>12.86</v>
      </c>
    </row>
    <row r="82" spans="2:11" x14ac:dyDescent="0.2">
      <c r="B82" s="68"/>
      <c r="C82" s="58"/>
      <c r="D82" s="16"/>
      <c r="E82" s="17"/>
      <c r="F82" s="18"/>
      <c r="G82" s="36">
        <v>0</v>
      </c>
      <c r="H82" s="20"/>
      <c r="I82" s="36">
        <f t="shared" si="1"/>
        <v>12.86</v>
      </c>
      <c r="J82" s="31"/>
      <c r="K82" s="36">
        <f>I82/SUM($E$11:E82)</f>
        <v>12.86</v>
      </c>
    </row>
    <row r="83" spans="2:11" x14ac:dyDescent="0.2">
      <c r="B83" s="68"/>
      <c r="C83" s="58"/>
      <c r="D83" s="16"/>
      <c r="E83" s="17"/>
      <c r="F83" s="18"/>
      <c r="G83" s="36">
        <v>0</v>
      </c>
      <c r="H83" s="20"/>
      <c r="I83" s="36">
        <f t="shared" si="1"/>
        <v>12.86</v>
      </c>
      <c r="J83" s="31"/>
      <c r="K83" s="36">
        <f>I83/SUM($E$11:E83)</f>
        <v>12.86</v>
      </c>
    </row>
    <row r="84" spans="2:11" x14ac:dyDescent="0.2">
      <c r="B84" s="68"/>
      <c r="C84" s="58"/>
      <c r="D84" s="16"/>
      <c r="E84" s="17"/>
      <c r="F84" s="18"/>
      <c r="G84" s="36">
        <v>0</v>
      </c>
      <c r="H84" s="20"/>
      <c r="I84" s="36">
        <f t="shared" si="1"/>
        <v>12.86</v>
      </c>
      <c r="J84" s="31"/>
      <c r="K84" s="36">
        <f>I84/SUM($E$11:E84)</f>
        <v>12.86</v>
      </c>
    </row>
    <row r="85" spans="2:11" x14ac:dyDescent="0.2">
      <c r="B85" s="68"/>
      <c r="C85" s="58"/>
      <c r="D85" s="16"/>
      <c r="E85" s="17"/>
      <c r="F85" s="18"/>
      <c r="G85" s="36">
        <v>0</v>
      </c>
      <c r="H85" s="20"/>
      <c r="I85" s="36">
        <f t="shared" si="1"/>
        <v>12.86</v>
      </c>
      <c r="J85" s="31"/>
      <c r="K85" s="36">
        <f>I85/SUM($E$11:E85)</f>
        <v>12.86</v>
      </c>
    </row>
    <row r="86" spans="2:11" x14ac:dyDescent="0.2">
      <c r="B86" s="68"/>
      <c r="C86" s="58"/>
      <c r="D86" s="16"/>
      <c r="E86" s="17"/>
      <c r="F86" s="18"/>
      <c r="G86" s="36">
        <v>0</v>
      </c>
      <c r="H86" s="20"/>
      <c r="I86" s="36">
        <f t="shared" si="1"/>
        <v>12.86</v>
      </c>
      <c r="J86" s="31"/>
      <c r="K86" s="36">
        <f>I86/SUM($E$11:E86)</f>
        <v>12.86</v>
      </c>
    </row>
    <row r="87" spans="2:11" x14ac:dyDescent="0.2">
      <c r="B87" s="68"/>
      <c r="C87" s="58"/>
      <c r="D87" s="16"/>
      <c r="E87" s="17"/>
      <c r="F87" s="18"/>
      <c r="G87" s="36">
        <v>0</v>
      </c>
      <c r="H87" s="20"/>
      <c r="I87" s="36">
        <f t="shared" si="1"/>
        <v>12.86</v>
      </c>
      <c r="J87" s="31"/>
      <c r="K87" s="36">
        <f>I87/SUM($E$11:E87)</f>
        <v>12.86</v>
      </c>
    </row>
    <row r="88" spans="2:11" x14ac:dyDescent="0.2">
      <c r="B88" s="68"/>
      <c r="C88" s="58"/>
      <c r="D88" s="16"/>
      <c r="E88" s="17"/>
      <c r="F88" s="18"/>
      <c r="G88" s="36">
        <v>0</v>
      </c>
      <c r="H88" s="20"/>
      <c r="I88" s="36">
        <f t="shared" si="1"/>
        <v>12.86</v>
      </c>
      <c r="J88" s="31"/>
      <c r="K88" s="36">
        <f>I88/SUM($E$11:E88)</f>
        <v>12.86</v>
      </c>
    </row>
    <row r="89" spans="2:11" x14ac:dyDescent="0.2">
      <c r="B89" s="68"/>
      <c r="C89" s="58"/>
      <c r="D89" s="16"/>
      <c r="E89" s="17"/>
      <c r="F89" s="18"/>
      <c r="G89" s="36">
        <v>0</v>
      </c>
      <c r="H89" s="20"/>
      <c r="I89" s="36">
        <f t="shared" si="1"/>
        <v>12.86</v>
      </c>
      <c r="J89" s="31"/>
      <c r="K89" s="36">
        <f>I89/SUM($E$11:E89)</f>
        <v>12.86</v>
      </c>
    </row>
    <row r="90" spans="2:11" x14ac:dyDescent="0.2">
      <c r="B90" s="68"/>
      <c r="C90" s="58"/>
      <c r="D90" s="16"/>
      <c r="E90" s="17"/>
      <c r="F90" s="18"/>
      <c r="G90" s="36">
        <v>0</v>
      </c>
      <c r="H90" s="20"/>
      <c r="I90" s="36">
        <f t="shared" si="1"/>
        <v>12.86</v>
      </c>
      <c r="J90" s="31"/>
      <c r="K90" s="36">
        <f>I90/SUM($E$11:E90)</f>
        <v>12.86</v>
      </c>
    </row>
    <row r="91" spans="2:11" x14ac:dyDescent="0.2">
      <c r="B91" s="68"/>
      <c r="C91" s="16"/>
      <c r="D91" s="16"/>
      <c r="E91" s="17"/>
      <c r="F91" s="18"/>
      <c r="G91" s="36">
        <v>0</v>
      </c>
      <c r="H91" s="20"/>
      <c r="I91" s="36">
        <f t="shared" si="1"/>
        <v>12.86</v>
      </c>
      <c r="J91" s="31"/>
      <c r="K91" s="36">
        <f>I91/SUM($E$11:E91)</f>
        <v>12.86</v>
      </c>
    </row>
    <row r="92" spans="2:11" x14ac:dyDescent="0.2">
      <c r="B92" s="68"/>
      <c r="C92" s="16"/>
      <c r="D92" s="16"/>
      <c r="E92" s="17"/>
      <c r="F92" s="18"/>
      <c r="G92" s="127"/>
      <c r="H92" s="20"/>
      <c r="I92" s="19"/>
      <c r="J92" s="31"/>
      <c r="K92" s="22">
        <f>I92/3400</f>
        <v>0</v>
      </c>
    </row>
    <row r="93" spans="2:11" ht="4.75" customHeight="1" x14ac:dyDescent="0.2">
      <c r="B93" s="15"/>
      <c r="C93" s="17"/>
      <c r="D93" s="17"/>
      <c r="E93" s="17"/>
      <c r="F93" s="18"/>
      <c r="G93" s="19"/>
      <c r="H93" s="20"/>
      <c r="I93" s="20"/>
      <c r="J93" s="31"/>
      <c r="K93" s="17"/>
    </row>
    <row r="94" spans="2:11" ht="23" customHeight="1" x14ac:dyDescent="0.25">
      <c r="B94" s="15"/>
      <c r="C94" s="17"/>
      <c r="D94" s="17"/>
      <c r="E94" s="23">
        <f>SUM(E11:E92)</f>
        <v>1</v>
      </c>
      <c r="F94" s="24"/>
      <c r="G94" s="25">
        <f>SUM(G34:G92)</f>
        <v>0</v>
      </c>
      <c r="H94" s="20"/>
      <c r="I94" s="20"/>
      <c r="J94" s="31"/>
      <c r="K94" s="17"/>
    </row>
  </sheetData>
  <mergeCells count="1">
    <mergeCell ref="B8:G8"/>
  </mergeCells>
  <conditionalFormatting sqref="B34:B51">
    <cfRule type="expression" dxfId="69" priority="1">
      <formula>AND(ISNUMBER(SEARCH("call", B34)), J34="expired")</formula>
    </cfRule>
    <cfRule type="expression" dxfId="68" priority="2">
      <formula>AND(ISNUMBER(SEARCH("call", B34)), J34="assigned")</formula>
    </cfRule>
    <cfRule type="expression" dxfId="67" priority="3">
      <formula>J34="assigned"</formula>
    </cfRule>
    <cfRule type="expression" dxfId="66" priority="4">
      <formula>J34="expired"</formula>
    </cfRule>
  </conditionalFormatting>
  <pageMargins left="0.7" right="0.7" top="0.75" bottom="0.75" header="0.3" footer="0.3"/>
  <pageSetup paperSize="0" orientation="portrait" r:id="rId1"/>
</worksheet>
</file>

<file path=xl/worksheets/sheet5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8BA0-2DE1-F54E-98AA-4AE86445B77E}">
  <sheetPr codeName="Sheet65"/>
  <dimension ref="A1:O79"/>
  <sheetViews>
    <sheetView topLeftCell="A6" zoomScale="120" zoomScaleNormal="120" workbookViewId="0">
      <selection activeCell="E23" sqref="E23"/>
    </sheetView>
  </sheetViews>
  <sheetFormatPr baseColWidth="10" defaultColWidth="8.83203125" defaultRowHeight="15" x14ac:dyDescent="0.2"/>
  <cols>
    <col min="1" max="1" width="6" customWidth="1"/>
    <col min="2" max="2" width="40.832031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10.33203125" customWidth="1"/>
    <col min="9" max="9" width="3.5" customWidth="1"/>
    <col min="10" max="10" width="11.83203125" customWidth="1"/>
    <col min="11" max="11" width="19" style="29" customWidth="1"/>
    <col min="12" max="12" width="13.1640625" style="2" customWidth="1"/>
    <col min="15" max="15" width="12.6640625" bestFit="1" customWidth="1"/>
  </cols>
  <sheetData>
    <row r="1" spans="1:15" ht="29" customHeight="1" x14ac:dyDescent="0.2">
      <c r="B1" s="197" t="s">
        <v>637</v>
      </c>
      <c r="C1" s="197"/>
    </row>
    <row r="2" spans="1:15" x14ac:dyDescent="0.2">
      <c r="B2" s="1" t="s">
        <v>638</v>
      </c>
      <c r="C2" s="56"/>
      <c r="D2" s="2"/>
      <c r="F2" s="3"/>
      <c r="G2" s="4"/>
      <c r="H2" s="4"/>
    </row>
    <row r="3" spans="1:15" ht="19" x14ac:dyDescent="0.25">
      <c r="B3" s="5"/>
      <c r="C3" s="57"/>
      <c r="D3" s="6"/>
      <c r="E3" s="154"/>
      <c r="F3" s="7" t="s">
        <v>0</v>
      </c>
      <c r="G3" s="194">
        <f>IF(ISERROR(SUM(G38,G77)/G4),SUM(G38,G77),SUM(G38,G77)/G4)</f>
        <v>169.19</v>
      </c>
      <c r="H3" s="193"/>
      <c r="J3" t="s">
        <v>279</v>
      </c>
      <c r="K3" s="30">
        <v>28.99</v>
      </c>
      <c r="L3" s="6"/>
    </row>
    <row r="4" spans="1:15" x14ac:dyDescent="0.2">
      <c r="B4" s="1"/>
      <c r="C4" s="56"/>
      <c r="D4" s="2"/>
      <c r="F4" s="3" t="s">
        <v>2</v>
      </c>
      <c r="G4" s="9">
        <f>SUM(E11:E37)</f>
        <v>100</v>
      </c>
      <c r="H4" s="9"/>
    </row>
    <row r="5" spans="1:15" x14ac:dyDescent="0.2">
      <c r="C5" s="56"/>
      <c r="D5" s="2"/>
      <c r="F5" s="3"/>
      <c r="G5" s="4"/>
      <c r="H5" s="4"/>
    </row>
    <row r="6" spans="1:15" x14ac:dyDescent="0.2">
      <c r="B6" s="15"/>
      <c r="C6" s="58"/>
      <c r="D6" s="17"/>
      <c r="E6" s="155"/>
      <c r="F6" s="18"/>
      <c r="G6" s="19"/>
      <c r="H6" s="19"/>
      <c r="I6" s="20"/>
      <c r="J6" s="20"/>
      <c r="K6" s="31"/>
      <c r="L6" s="17"/>
    </row>
    <row r="7" spans="1:15" ht="6" customHeight="1" x14ac:dyDescent="0.2">
      <c r="B7" s="15"/>
      <c r="C7" s="58"/>
      <c r="D7" s="17"/>
      <c r="E7" s="155"/>
      <c r="F7" s="18"/>
      <c r="G7" s="19"/>
      <c r="H7" s="19"/>
      <c r="I7" s="20"/>
      <c r="J7" s="20"/>
      <c r="K7" s="31"/>
      <c r="L7" s="17"/>
    </row>
    <row r="8" spans="1:15" s="26" customFormat="1" ht="12" x14ac:dyDescent="0.15">
      <c r="B8" s="198" t="s">
        <v>3</v>
      </c>
      <c r="C8" s="198"/>
      <c r="D8" s="198"/>
      <c r="E8" s="198"/>
      <c r="F8" s="198"/>
      <c r="G8" s="198"/>
      <c r="H8" s="166"/>
      <c r="I8" s="27"/>
      <c r="J8" s="28"/>
      <c r="K8" s="32"/>
      <c r="L8" s="28"/>
    </row>
    <row r="9" spans="1:15" s="153" customFormat="1" ht="32" x14ac:dyDescent="0.2">
      <c r="B9" s="156" t="s">
        <v>11</v>
      </c>
      <c r="C9" s="173" t="s">
        <v>6</v>
      </c>
      <c r="D9" s="156" t="s">
        <v>39</v>
      </c>
      <c r="E9" s="156" t="s">
        <v>2</v>
      </c>
      <c r="F9" s="174" t="s">
        <v>7</v>
      </c>
      <c r="G9" s="175" t="s">
        <v>8</v>
      </c>
      <c r="H9" s="176" t="s">
        <v>583</v>
      </c>
      <c r="I9" s="156"/>
      <c r="J9" s="156" t="s">
        <v>4</v>
      </c>
      <c r="K9" s="177"/>
      <c r="L9" s="156" t="s">
        <v>5</v>
      </c>
    </row>
    <row r="10" spans="1:15" ht="5.5" customHeight="1" x14ac:dyDescent="0.2">
      <c r="B10" s="12"/>
      <c r="C10" s="59"/>
      <c r="D10" s="11"/>
      <c r="E10" s="156"/>
      <c r="F10" s="13"/>
      <c r="G10" s="14"/>
      <c r="H10" s="14"/>
      <c r="I10" s="11"/>
      <c r="J10" s="11"/>
      <c r="K10" s="33"/>
      <c r="L10" s="11"/>
    </row>
    <row r="11" spans="1:15" x14ac:dyDescent="0.2">
      <c r="A11" s="187"/>
      <c r="B11" s="188" t="s">
        <v>643</v>
      </c>
      <c r="C11" s="167" t="d">
        <v>2025-10-11</v>
      </c>
      <c r="D11" s="189"/>
      <c r="E11" s="157">
        <v>100</v>
      </c>
      <c r="F11" s="190">
        <v>172.5</v>
      </c>
      <c r="G11" s="191">
        <f>E11*F11</f>
        <v>17250</v>
      </c>
      <c r="H11" s="191"/>
      <c r="I11" s="181"/>
      <c r="J11" s="180">
        <f>G11</f>
        <v>17250</v>
      </c>
      <c r="K11" s="182"/>
      <c r="L11" s="180">
        <f>J11/E11</f>
        <v>172.5</v>
      </c>
    </row>
    <row r="12" spans="1:15" x14ac:dyDescent="0.2">
      <c r="A12" s="187"/>
      <c r="B12" s="188"/>
      <c r="C12" s="167"/>
      <c r="D12" s="189"/>
      <c r="E12" s="157"/>
      <c r="F12" s="190"/>
      <c r="G12" s="191">
        <f>E12*F12</f>
        <v>0</v>
      </c>
      <c r="H12" s="191"/>
      <c r="I12" s="181"/>
      <c r="J12" s="180">
        <f>J11+G12</f>
        <v>17250</v>
      </c>
      <c r="K12" s="182"/>
      <c r="L12" s="180">
        <f>J12/SUM($E$11:E12)</f>
        <v>172.5</v>
      </c>
      <c r="O12" s="144" t="s">
        <v>268</v>
      </c>
    </row>
    <row r="13" spans="1:15" x14ac:dyDescent="0.2">
      <c r="A13" s="187"/>
      <c r="B13" s="188"/>
      <c r="C13" s="167"/>
      <c r="D13" s="189"/>
      <c r="E13" s="157"/>
      <c r="F13" s="190"/>
      <c r="G13" s="191">
        <f t="shared" ref="G13:G37" si="0">E13*F13</f>
        <v>0</v>
      </c>
      <c r="H13" s="191"/>
      <c r="I13" s="181"/>
      <c r="J13" s="180">
        <f>J12+G13</f>
        <v>17250</v>
      </c>
      <c r="K13" s="182"/>
      <c r="L13" s="180">
        <f>J13/SUM($E$11:E13)</f>
        <v>172.5</v>
      </c>
      <c r="O13" s="143" t="s">
        <v>269</v>
      </c>
    </row>
    <row r="14" spans="1:15" x14ac:dyDescent="0.2">
      <c r="A14" s="187"/>
      <c r="B14" s="188"/>
      <c r="C14" s="167"/>
      <c r="D14" s="189"/>
      <c r="E14" s="157"/>
      <c r="F14" s="190"/>
      <c r="G14" s="191">
        <f t="shared" si="0"/>
        <v>0</v>
      </c>
      <c r="H14" s="191"/>
      <c r="I14" s="181"/>
      <c r="J14" s="180">
        <f t="shared" ref="J14:J37" si="1">J13+G14</f>
        <v>17250</v>
      </c>
      <c r="K14" s="182"/>
      <c r="L14" s="180">
        <f>J14/SUM($E$11:E14)</f>
        <v>172.5</v>
      </c>
      <c r="O14" s="145" t="s">
        <v>270</v>
      </c>
    </row>
    <row r="15" spans="1:15" x14ac:dyDescent="0.2">
      <c r="A15" s="187"/>
      <c r="B15" s="188"/>
      <c r="C15" s="167"/>
      <c r="D15" s="189"/>
      <c r="E15" s="157"/>
      <c r="F15" s="190"/>
      <c r="G15" s="191">
        <f t="shared" si="0"/>
        <v>0</v>
      </c>
      <c r="H15" s="191"/>
      <c r="I15" s="181"/>
      <c r="J15" s="180">
        <f t="shared" si="1"/>
        <v>17250</v>
      </c>
      <c r="K15" s="182"/>
      <c r="L15" s="180">
        <f>J15/SUM($E$11:E15)</f>
        <v>172.5</v>
      </c>
      <c r="O15" s="146" t="s">
        <v>271</v>
      </c>
    </row>
    <row r="16" spans="1:15" x14ac:dyDescent="0.2">
      <c r="A16" s="187"/>
      <c r="B16" s="188"/>
      <c r="C16" s="167"/>
      <c r="D16" s="189"/>
      <c r="E16" s="157"/>
      <c r="F16" s="190"/>
      <c r="G16" s="191">
        <f t="shared" si="0"/>
        <v>0</v>
      </c>
      <c r="H16" s="191"/>
      <c r="I16" s="181"/>
      <c r="J16" s="180">
        <f t="shared" si="1"/>
        <v>17250</v>
      </c>
      <c r="K16" s="182"/>
      <c r="L16" s="180">
        <f>J16/SUM($E$11:E16)</f>
        <v>172.5</v>
      </c>
      <c r="O16" s="147" t="s">
        <v>266</v>
      </c>
    </row>
    <row r="17" spans="1:15" x14ac:dyDescent="0.2">
      <c r="A17" s="187"/>
      <c r="B17" s="188"/>
      <c r="C17" s="167"/>
      <c r="D17" s="189"/>
      <c r="E17" s="157"/>
      <c r="F17" s="190"/>
      <c r="G17" s="191">
        <f t="shared" si="0"/>
        <v>0</v>
      </c>
      <c r="H17" s="191"/>
      <c r="I17" s="181"/>
      <c r="J17" s="180">
        <f t="shared" si="1"/>
        <v>17250</v>
      </c>
      <c r="K17" s="182"/>
      <c r="L17" s="180">
        <f>J17/SUM($E$11:E17)</f>
        <v>172.5</v>
      </c>
      <c r="O17" s="164" t="s">
        <v>493</v>
      </c>
    </row>
    <row r="18" spans="1:15" x14ac:dyDescent="0.2">
      <c r="A18" s="187"/>
      <c r="B18" s="188"/>
      <c r="C18" s="167"/>
      <c r="D18" s="189"/>
      <c r="E18" s="157"/>
      <c r="F18" s="190"/>
      <c r="G18" s="191">
        <f t="shared" si="0"/>
        <v>0</v>
      </c>
      <c r="H18" s="191"/>
      <c r="I18" s="181"/>
      <c r="J18" s="180">
        <f t="shared" si="1"/>
        <v>17250</v>
      </c>
      <c r="K18" s="182"/>
      <c r="L18" s="180">
        <f>J18/SUM($E$11:E18)</f>
        <v>172.5</v>
      </c>
      <c r="O18" s="172" t="s">
        <v>546</v>
      </c>
    </row>
    <row r="19" spans="1:15" x14ac:dyDescent="0.2">
      <c r="A19" s="187"/>
      <c r="B19" s="188"/>
      <c r="C19" s="167"/>
      <c r="D19" s="189"/>
      <c r="E19" s="157"/>
      <c r="F19" s="190"/>
      <c r="G19" s="191">
        <f t="shared" si="0"/>
        <v>0</v>
      </c>
      <c r="H19" s="191"/>
      <c r="I19" s="181"/>
      <c r="J19" s="180">
        <f t="shared" si="1"/>
        <v>17250</v>
      </c>
      <c r="K19" s="182"/>
      <c r="L19" s="180">
        <f>J19/SUM($E$11:E19)</f>
        <v>172.5</v>
      </c>
    </row>
    <row r="20" spans="1:15" x14ac:dyDescent="0.2">
      <c r="A20" s="187"/>
      <c r="B20" s="188"/>
      <c r="C20" s="167"/>
      <c r="D20" s="189"/>
      <c r="E20" s="157"/>
      <c r="F20" s="190"/>
      <c r="G20" s="191">
        <f t="shared" si="0"/>
        <v>0</v>
      </c>
      <c r="H20" s="191"/>
      <c r="I20" s="181"/>
      <c r="J20" s="180">
        <f t="shared" si="1"/>
        <v>17250</v>
      </c>
      <c r="K20" s="182"/>
      <c r="L20" s="180">
        <f>J20/SUM($E$11:E20)</f>
        <v>172.5</v>
      </c>
    </row>
    <row r="21" spans="1:15" x14ac:dyDescent="0.2">
      <c r="A21" s="187"/>
      <c r="B21" s="188"/>
      <c r="C21" s="167"/>
      <c r="D21" s="189"/>
      <c r="E21" s="157"/>
      <c r="F21" s="190"/>
      <c r="G21" s="191">
        <f t="shared" si="0"/>
        <v>0</v>
      </c>
      <c r="H21" s="191"/>
      <c r="I21" s="181"/>
      <c r="J21" s="180">
        <f t="shared" si="1"/>
        <v>17250</v>
      </c>
      <c r="K21" s="182"/>
      <c r="L21" s="180">
        <f>J21/SUM($E$11:E21)</f>
        <v>172.5</v>
      </c>
    </row>
    <row r="22" spans="1:15" x14ac:dyDescent="0.2">
      <c r="A22" s="187"/>
      <c r="B22" s="188"/>
      <c r="C22" s="167"/>
      <c r="D22" s="189"/>
      <c r="E22" s="157"/>
      <c r="F22" s="190"/>
      <c r="G22" s="191">
        <f t="shared" si="0"/>
        <v>0</v>
      </c>
      <c r="H22" s="191"/>
      <c r="I22" s="181"/>
      <c r="J22" s="180">
        <f t="shared" si="1"/>
        <v>17250</v>
      </c>
      <c r="K22" s="182"/>
      <c r="L22" s="180">
        <f>J22/SUM($E$11:E22)</f>
        <v>172.5</v>
      </c>
    </row>
    <row r="23" spans="1:15" x14ac:dyDescent="0.2">
      <c r="A23" s="187"/>
      <c r="B23" s="188"/>
      <c r="C23" s="167"/>
      <c r="D23" s="189"/>
      <c r="E23" s="157"/>
      <c r="F23" s="190"/>
      <c r="G23" s="191">
        <f t="shared" si="0"/>
        <v>0</v>
      </c>
      <c r="H23" s="191"/>
      <c r="I23" s="181"/>
      <c r="J23" s="180">
        <f t="shared" si="1"/>
        <v>17250</v>
      </c>
      <c r="K23" s="182"/>
      <c r="L23" s="180">
        <f>J23/SUM($E$11:E23)</f>
        <v>172.5</v>
      </c>
    </row>
    <row r="24" spans="1:15" x14ac:dyDescent="0.2">
      <c r="A24" s="187"/>
      <c r="B24" s="188"/>
      <c r="C24" s="167"/>
      <c r="D24" s="189"/>
      <c r="E24" s="157"/>
      <c r="F24" s="190"/>
      <c r="G24" s="191">
        <f t="shared" si="0"/>
        <v>0</v>
      </c>
      <c r="H24" s="191"/>
      <c r="I24" s="181"/>
      <c r="J24" s="180">
        <f t="shared" si="1"/>
        <v>17250</v>
      </c>
      <c r="K24" s="182"/>
      <c r="L24" s="180">
        <f>J24/SUM($E$11:E24)</f>
        <v>172.5</v>
      </c>
    </row>
    <row r="25" spans="1:15" x14ac:dyDescent="0.2">
      <c r="A25" s="187"/>
      <c r="B25" s="188"/>
      <c r="C25" s="167"/>
      <c r="D25" s="189"/>
      <c r="E25" s="157"/>
      <c r="F25" s="190"/>
      <c r="G25" s="191">
        <f t="shared" si="0"/>
        <v>0</v>
      </c>
      <c r="H25" s="191"/>
      <c r="I25" s="181"/>
      <c r="J25" s="180">
        <f t="shared" si="1"/>
        <v>17250</v>
      </c>
      <c r="K25" s="182"/>
      <c r="L25" s="180">
        <f>J25/SUM($E$11:E25)</f>
        <v>172.5</v>
      </c>
    </row>
    <row r="26" spans="1:15" x14ac:dyDescent="0.2">
      <c r="A26" s="187"/>
      <c r="B26" s="188"/>
      <c r="C26" s="167"/>
      <c r="D26" s="189"/>
      <c r="E26" s="157"/>
      <c r="F26" s="190"/>
      <c r="G26" s="191">
        <f t="shared" si="0"/>
        <v>0</v>
      </c>
      <c r="H26" s="191"/>
      <c r="I26" s="181"/>
      <c r="J26" s="180">
        <f t="shared" si="1"/>
        <v>17250</v>
      </c>
      <c r="K26" s="182"/>
      <c r="L26" s="180">
        <f>J26/SUM($E$11:E26)</f>
        <v>172.5</v>
      </c>
    </row>
    <row r="27" spans="1:15" x14ac:dyDescent="0.2">
      <c r="A27" s="187"/>
      <c r="B27" s="188"/>
      <c r="C27" s="167"/>
      <c r="D27" s="189"/>
      <c r="E27" s="157"/>
      <c r="F27" s="190"/>
      <c r="G27" s="191">
        <f t="shared" si="0"/>
        <v>0</v>
      </c>
      <c r="H27" s="191"/>
      <c r="I27" s="181"/>
      <c r="J27" s="180">
        <f t="shared" si="1"/>
        <v>17250</v>
      </c>
      <c r="K27" s="182"/>
      <c r="L27" s="180">
        <f>J27/SUM($E$11:E27)</f>
        <v>172.5</v>
      </c>
    </row>
    <row r="28" spans="1:15" x14ac:dyDescent="0.2">
      <c r="A28" s="187"/>
      <c r="B28" s="188"/>
      <c r="C28" s="167"/>
      <c r="D28" s="189"/>
      <c r="E28" s="157"/>
      <c r="F28" s="190"/>
      <c r="G28" s="191">
        <f t="shared" si="0"/>
        <v>0</v>
      </c>
      <c r="H28" s="191"/>
      <c r="I28" s="181"/>
      <c r="J28" s="180">
        <f t="shared" si="1"/>
        <v>17250</v>
      </c>
      <c r="K28" s="182"/>
      <c r="L28" s="180">
        <f>J28/SUM($E$11:E28)</f>
        <v>172.5</v>
      </c>
    </row>
    <row r="29" spans="1:15" x14ac:dyDescent="0.2">
      <c r="A29" s="187"/>
      <c r="B29" s="188"/>
      <c r="C29" s="167"/>
      <c r="D29" s="189"/>
      <c r="E29" s="157"/>
      <c r="F29" s="190"/>
      <c r="G29" s="191">
        <f t="shared" si="0"/>
        <v>0</v>
      </c>
      <c r="H29" s="191"/>
      <c r="I29" s="181"/>
      <c r="J29" s="180">
        <f t="shared" si="1"/>
        <v>17250</v>
      </c>
      <c r="K29" s="182"/>
      <c r="L29" s="180">
        <f>J29/SUM($E$11:E29)</f>
        <v>172.5</v>
      </c>
    </row>
    <row r="30" spans="1:15" x14ac:dyDescent="0.2">
      <c r="A30" s="187"/>
      <c r="B30" s="188"/>
      <c r="C30" s="167"/>
      <c r="D30" s="189"/>
      <c r="E30" s="157"/>
      <c r="F30" s="190"/>
      <c r="G30" s="191">
        <f t="shared" si="0"/>
        <v>0</v>
      </c>
      <c r="H30" s="191"/>
      <c r="I30" s="181"/>
      <c r="J30" s="180">
        <f t="shared" si="1"/>
        <v>17250</v>
      </c>
      <c r="K30" s="182"/>
      <c r="L30" s="180">
        <f>J30/SUM($E$11:E30)</f>
        <v>172.5</v>
      </c>
    </row>
    <row r="31" spans="1:15" x14ac:dyDescent="0.2">
      <c r="A31" s="187"/>
      <c r="B31" s="188"/>
      <c r="C31" s="167"/>
      <c r="D31" s="189"/>
      <c r="E31" s="157"/>
      <c r="F31" s="190"/>
      <c r="G31" s="191">
        <f t="shared" si="0"/>
        <v>0</v>
      </c>
      <c r="H31" s="191"/>
      <c r="I31" s="181"/>
      <c r="J31" s="180">
        <f t="shared" si="1"/>
        <v>17250</v>
      </c>
      <c r="K31" s="182"/>
      <c r="L31" s="180">
        <f>J31/SUM($E$11:E31)</f>
        <v>172.5</v>
      </c>
    </row>
    <row r="32" spans="1:15" x14ac:dyDescent="0.2">
      <c r="A32" s="187"/>
      <c r="B32" s="188"/>
      <c r="C32" s="167"/>
      <c r="D32" s="189"/>
      <c r="E32" s="157"/>
      <c r="F32" s="190"/>
      <c r="G32" s="191">
        <f t="shared" si="0"/>
        <v>0</v>
      </c>
      <c r="H32" s="191"/>
      <c r="I32" s="181"/>
      <c r="J32" s="180">
        <f t="shared" si="1"/>
        <v>17250</v>
      </c>
      <c r="K32" s="182"/>
      <c r="L32" s="180">
        <f>J32/SUM($E$11:E32)</f>
        <v>172.5</v>
      </c>
    </row>
    <row r="33" spans="1:12" x14ac:dyDescent="0.2">
      <c r="A33" s="187"/>
      <c r="B33" s="188"/>
      <c r="C33" s="167"/>
      <c r="D33" s="189"/>
      <c r="E33" s="157"/>
      <c r="F33" s="190"/>
      <c r="G33" s="191">
        <f t="shared" si="0"/>
        <v>0</v>
      </c>
      <c r="H33" s="191"/>
      <c r="I33" s="181"/>
      <c r="J33" s="180">
        <f t="shared" si="1"/>
        <v>17250</v>
      </c>
      <c r="K33" s="182"/>
      <c r="L33" s="180">
        <f>J33/SUM($E$11:E33)</f>
        <v>172.5</v>
      </c>
    </row>
    <row r="34" spans="1:12" x14ac:dyDescent="0.2">
      <c r="A34" s="187"/>
      <c r="B34" s="188"/>
      <c r="C34" s="167"/>
      <c r="D34" s="189"/>
      <c r="E34" s="157"/>
      <c r="F34" s="190"/>
      <c r="G34" s="191">
        <f t="shared" si="0"/>
        <v>0</v>
      </c>
      <c r="H34" s="191"/>
      <c r="I34" s="181"/>
      <c r="J34" s="180">
        <f t="shared" si="1"/>
        <v>17250</v>
      </c>
      <c r="K34" s="182"/>
      <c r="L34" s="180">
        <f>J34/SUM($E$11:E34)</f>
        <v>172.5</v>
      </c>
    </row>
    <row r="35" spans="1:12" x14ac:dyDescent="0.2">
      <c r="A35" s="187"/>
      <c r="B35" s="188"/>
      <c r="C35" s="167"/>
      <c r="D35" s="189"/>
      <c r="E35" s="157"/>
      <c r="F35" s="190"/>
      <c r="G35" s="191">
        <f t="shared" si="0"/>
        <v>0</v>
      </c>
      <c r="H35" s="191"/>
      <c r="I35" s="181"/>
      <c r="J35" s="180">
        <f t="shared" si="1"/>
        <v>17250</v>
      </c>
      <c r="K35" s="182"/>
      <c r="L35" s="180">
        <f>J35/SUM($E$11:E35)</f>
        <v>172.5</v>
      </c>
    </row>
    <row r="36" spans="1:12" x14ac:dyDescent="0.2">
      <c r="A36" s="187"/>
      <c r="B36" s="188"/>
      <c r="C36" s="167"/>
      <c r="D36" s="189"/>
      <c r="E36" s="157"/>
      <c r="F36" s="190"/>
      <c r="G36" s="191">
        <f t="shared" si="0"/>
        <v>0</v>
      </c>
      <c r="H36" s="191"/>
      <c r="I36" s="181"/>
      <c r="J36" s="180">
        <f>J19+G36</f>
        <v>17250</v>
      </c>
      <c r="K36" s="182"/>
      <c r="L36" s="180">
        <f>J36/SUM($E$11:E36)</f>
        <v>172.5</v>
      </c>
    </row>
    <row r="37" spans="1:12" x14ac:dyDescent="0.2">
      <c r="A37" s="187"/>
      <c r="B37" s="188"/>
      <c r="C37" s="167"/>
      <c r="D37" s="189"/>
      <c r="E37" s="157"/>
      <c r="F37" s="190"/>
      <c r="G37" s="191">
        <f t="shared" si="0"/>
        <v>0</v>
      </c>
      <c r="H37" s="191"/>
      <c r="I37" s="181"/>
      <c r="J37" s="180">
        <f t="shared" si="1"/>
        <v>17250</v>
      </c>
      <c r="K37" s="182"/>
      <c r="L37" s="180">
        <f>J37/SUM($E$11:E37)</f>
        <v>172.5</v>
      </c>
    </row>
    <row r="38" spans="1:12" ht="19" x14ac:dyDescent="0.25">
      <c r="B38" s="15"/>
      <c r="C38" s="58"/>
      <c r="D38" s="16"/>
      <c r="E38" s="155"/>
      <c r="F38" s="18"/>
      <c r="G38" s="165">
        <f>SUM(G11:G37)</f>
        <v>17250</v>
      </c>
      <c r="H38" s="178"/>
      <c r="I38" s="20"/>
      <c r="J38" s="19"/>
      <c r="K38" s="31"/>
      <c r="L38" s="165">
        <f>SUM(G11:G37)/SUM(E11:E38)</f>
        <v>172.5</v>
      </c>
    </row>
    <row r="39" spans="1:12" ht="6" customHeight="1" x14ac:dyDescent="0.2">
      <c r="B39" s="15"/>
      <c r="C39" s="58"/>
      <c r="D39" s="17"/>
      <c r="E39" s="155"/>
      <c r="F39" s="18"/>
      <c r="G39" s="19"/>
      <c r="H39" s="19"/>
      <c r="I39" s="20"/>
      <c r="J39" s="20"/>
      <c r="K39" s="31"/>
      <c r="L39" s="17"/>
    </row>
    <row r="40" spans="1:12" ht="6.5" customHeight="1" x14ac:dyDescent="0.2">
      <c r="B40" s="15"/>
      <c r="C40" s="58"/>
      <c r="D40" s="17"/>
      <c r="E40" s="155"/>
      <c r="F40" s="18"/>
      <c r="G40" s="19"/>
      <c r="H40" s="19"/>
      <c r="I40" s="20"/>
      <c r="J40" s="20"/>
      <c r="K40" s="31"/>
      <c r="L40" s="17"/>
    </row>
    <row r="41" spans="1:12" ht="20" customHeight="1" x14ac:dyDescent="0.2">
      <c r="B41" s="170" t="s">
        <v>639</v>
      </c>
      <c r="C41" s="167" t="d">
        <v>2025-10-01</v>
      </c>
      <c r="D41" s="189"/>
      <c r="E41" s="155"/>
      <c r="F41" s="190"/>
      <c r="G41" s="180">
        <v>-86</v>
      </c>
      <c r="H41" s="192"/>
      <c r="I41" s="181"/>
      <c r="J41" s="180">
        <f>J13+G41</f>
        <v>17164</v>
      </c>
      <c r="K41" s="182" t="s">
        <v>122</v>
      </c>
      <c r="L41" s="180">
        <f>J41/SUM($E$11:E41)</f>
        <v>171.64</v>
      </c>
    </row>
    <row r="42" spans="1:12" ht="16" x14ac:dyDescent="0.2">
      <c r="B42" s="170" t="s">
        <v>640</v>
      </c>
      <c r="C42" s="167" t="d">
        <v>2025-10-13</v>
      </c>
      <c r="D42" s="189"/>
      <c r="E42" s="155"/>
      <c r="F42" s="190"/>
      <c r="G42" s="180">
        <v>-49</v>
      </c>
      <c r="H42" s="192"/>
      <c r="I42" s="155"/>
      <c r="J42" s="180">
        <f t="shared" ref="J42:J76" si="2">J41+G42</f>
        <v>17115</v>
      </c>
      <c r="K42" s="182"/>
      <c r="L42" s="180">
        <f>J42/SUM($E$11:E42)</f>
        <v>171.15</v>
      </c>
    </row>
    <row r="43" spans="1:12" ht="16" x14ac:dyDescent="0.2">
      <c r="B43" s="170" t="s">
        <v>641</v>
      </c>
      <c r="C43" s="167" t="d">
        <v>2025-10-13</v>
      </c>
      <c r="D43" s="189"/>
      <c r="E43" s="155"/>
      <c r="F43" s="187"/>
      <c r="G43" s="180">
        <v>-71</v>
      </c>
      <c r="H43" s="192"/>
      <c r="I43" s="155"/>
      <c r="J43" s="180">
        <f t="shared" si="2"/>
        <v>17044</v>
      </c>
      <c r="K43" s="182"/>
      <c r="L43" s="180">
        <f>J43/SUM($E$11:E43)</f>
        <v>170.44</v>
      </c>
    </row>
    <row r="44" spans="1:12" ht="16" x14ac:dyDescent="0.2">
      <c r="B44" s="170" t="s">
        <v>642</v>
      </c>
      <c r="C44" s="167" t="d">
        <v>2025-10-13</v>
      </c>
      <c r="D44" s="189"/>
      <c r="E44" s="155"/>
      <c r="F44" s="184"/>
      <c r="G44" s="180">
        <v>-125</v>
      </c>
      <c r="H44" s="192"/>
      <c r="I44" s="155"/>
      <c r="J44" s="180">
        <f t="shared" si="2"/>
        <v>16919</v>
      </c>
      <c r="K44" s="182"/>
      <c r="L44" s="180">
        <f>J44/SUM($E$11:E44)</f>
        <v>169.19</v>
      </c>
    </row>
    <row r="45" spans="1:12" x14ac:dyDescent="0.2">
      <c r="B45" s="170"/>
      <c r="C45" s="167"/>
      <c r="D45" s="189"/>
      <c r="E45" s="155"/>
      <c r="F45" s="184"/>
      <c r="G45" s="180">
        <v>0</v>
      </c>
      <c r="H45" s="192"/>
      <c r="I45" s="155"/>
      <c r="J45" s="180">
        <f t="shared" si="2"/>
        <v>16919</v>
      </c>
      <c r="K45" s="182"/>
      <c r="L45" s="180">
        <f>J45/SUM($E$11:E45)</f>
        <v>169.19</v>
      </c>
    </row>
    <row r="46" spans="1:12" x14ac:dyDescent="0.2">
      <c r="B46" s="170"/>
      <c r="C46" s="167"/>
      <c r="D46" s="189"/>
      <c r="E46" s="155"/>
      <c r="F46" s="184"/>
      <c r="G46" s="180">
        <v>0</v>
      </c>
      <c r="H46" s="192"/>
      <c r="I46" s="155"/>
      <c r="J46" s="180">
        <f t="shared" si="2"/>
        <v>16919</v>
      </c>
      <c r="K46" s="182"/>
      <c r="L46" s="180">
        <f>J46/SUM($E$11:E46)</f>
        <v>169.19</v>
      </c>
    </row>
    <row r="47" spans="1:12" x14ac:dyDescent="0.2">
      <c r="B47" s="170"/>
      <c r="C47" s="167"/>
      <c r="D47" s="189"/>
      <c r="E47" s="155"/>
      <c r="F47" s="184"/>
      <c r="G47" s="180">
        <v>0</v>
      </c>
      <c r="H47" s="192"/>
      <c r="I47" s="155"/>
      <c r="J47" s="180">
        <f t="shared" si="2"/>
        <v>16919</v>
      </c>
      <c r="K47" s="182"/>
      <c r="L47" s="180">
        <f>J47/SUM($E$11:E47)</f>
        <v>169.19</v>
      </c>
    </row>
    <row r="48" spans="1:12" x14ac:dyDescent="0.2">
      <c r="B48" s="170"/>
      <c r="C48" s="167"/>
      <c r="D48" s="189"/>
      <c r="E48" s="155"/>
      <c r="F48" s="184"/>
      <c r="G48" s="180">
        <v>0</v>
      </c>
      <c r="H48" s="192"/>
      <c r="I48" s="155"/>
      <c r="J48" s="180">
        <f t="shared" si="2"/>
        <v>16919</v>
      </c>
      <c r="K48" s="182"/>
      <c r="L48" s="180">
        <f>J48/SUM($E$11:E48)</f>
        <v>169.19</v>
      </c>
    </row>
    <row r="49" spans="2:12" x14ac:dyDescent="0.2">
      <c r="B49" s="170"/>
      <c r="C49" s="167"/>
      <c r="D49" s="189"/>
      <c r="E49" s="155"/>
      <c r="F49" s="184"/>
      <c r="G49" s="180">
        <v>0</v>
      </c>
      <c r="H49" s="192"/>
      <c r="I49" s="181"/>
      <c r="J49" s="180">
        <f t="shared" si="2"/>
        <v>16919</v>
      </c>
      <c r="K49" s="182"/>
      <c r="L49" s="180">
        <f>J49/SUM($E$11:E49)</f>
        <v>169.19</v>
      </c>
    </row>
    <row r="50" spans="2:12" ht="17" customHeight="1" x14ac:dyDescent="0.2">
      <c r="B50" s="170"/>
      <c r="C50" s="167"/>
      <c r="D50" s="189"/>
      <c r="E50" s="155"/>
      <c r="F50" s="184"/>
      <c r="G50" s="180">
        <v>0</v>
      </c>
      <c r="H50" s="192"/>
      <c r="I50" s="181"/>
      <c r="J50" s="180">
        <f t="shared" si="2"/>
        <v>16919</v>
      </c>
      <c r="K50" s="182"/>
      <c r="L50" s="180">
        <f>J50/SUM($E$11:E50)</f>
        <v>169.19</v>
      </c>
    </row>
    <row r="51" spans="2:12" x14ac:dyDescent="0.2">
      <c r="B51" s="170"/>
      <c r="C51" s="167"/>
      <c r="D51" s="189"/>
      <c r="E51" s="155"/>
      <c r="F51" s="184"/>
      <c r="G51" s="180">
        <v>0</v>
      </c>
      <c r="H51" s="192"/>
      <c r="I51" s="181"/>
      <c r="J51" s="180">
        <f t="shared" si="2"/>
        <v>16919</v>
      </c>
      <c r="K51" s="182"/>
      <c r="L51" s="180">
        <f>J51/SUM($E$11:E51)</f>
        <v>169.19</v>
      </c>
    </row>
    <row r="52" spans="2:12" x14ac:dyDescent="0.2">
      <c r="B52" s="170"/>
      <c r="C52" s="167"/>
      <c r="D52" s="189"/>
      <c r="E52" s="155"/>
      <c r="F52" s="184"/>
      <c r="G52" s="180">
        <v>0</v>
      </c>
      <c r="H52" s="192"/>
      <c r="I52" s="181"/>
      <c r="J52" s="180">
        <f t="shared" si="2"/>
        <v>16919</v>
      </c>
      <c r="K52" s="182"/>
      <c r="L52" s="180">
        <f>J52/SUM($E$11:E52)</f>
        <v>169.19</v>
      </c>
    </row>
    <row r="53" spans="2:12" x14ac:dyDescent="0.2">
      <c r="B53" s="170"/>
      <c r="C53" s="167"/>
      <c r="D53" s="189"/>
      <c r="E53" s="155"/>
      <c r="F53" s="184"/>
      <c r="G53" s="180">
        <v>0</v>
      </c>
      <c r="H53" s="192"/>
      <c r="I53" s="181"/>
      <c r="J53" s="180">
        <f t="shared" si="2"/>
        <v>16919</v>
      </c>
      <c r="K53" s="182"/>
      <c r="L53" s="180">
        <f>J53/SUM($E$11:E53)</f>
        <v>169.19</v>
      </c>
    </row>
    <row r="54" spans="2:12" x14ac:dyDescent="0.2">
      <c r="B54" s="170"/>
      <c r="C54" s="167"/>
      <c r="D54" s="189"/>
      <c r="E54" s="155"/>
      <c r="F54" s="184"/>
      <c r="G54" s="180">
        <v>0</v>
      </c>
      <c r="H54" s="192"/>
      <c r="I54" s="181"/>
      <c r="J54" s="180">
        <f t="shared" si="2"/>
        <v>16919</v>
      </c>
      <c r="K54" s="182"/>
      <c r="L54" s="180">
        <f>J54/SUM($E$11:E54)</f>
        <v>169.19</v>
      </c>
    </row>
    <row r="55" spans="2:12" x14ac:dyDescent="0.2">
      <c r="B55" s="170"/>
      <c r="C55" s="167"/>
      <c r="D55" s="189"/>
      <c r="E55" s="155"/>
      <c r="F55" s="184"/>
      <c r="G55" s="180">
        <v>0</v>
      </c>
      <c r="H55" s="192"/>
      <c r="I55" s="181"/>
      <c r="J55" s="180">
        <f t="shared" si="2"/>
        <v>16919</v>
      </c>
      <c r="K55" s="182"/>
      <c r="L55" s="180">
        <f>J55/SUM($E$11:E55)</f>
        <v>169.19</v>
      </c>
    </row>
    <row r="56" spans="2:12" ht="16" customHeight="1" x14ac:dyDescent="0.2">
      <c r="B56" s="170"/>
      <c r="C56" s="167"/>
      <c r="D56" s="189"/>
      <c r="E56" s="155"/>
      <c r="F56" s="184"/>
      <c r="G56" s="180">
        <v>0</v>
      </c>
      <c r="H56" s="192"/>
      <c r="I56" s="181"/>
      <c r="J56" s="180">
        <f t="shared" si="2"/>
        <v>16919</v>
      </c>
      <c r="K56" s="182"/>
      <c r="L56" s="180">
        <f>J56/SUM($E$11:E56)</f>
        <v>169.19</v>
      </c>
    </row>
    <row r="57" spans="2:12" ht="18" customHeight="1" x14ac:dyDescent="0.2">
      <c r="B57" s="170"/>
      <c r="C57" s="167"/>
      <c r="D57" s="189"/>
      <c r="E57" s="155"/>
      <c r="F57" s="184"/>
      <c r="G57" s="180">
        <v>0</v>
      </c>
      <c r="H57" s="192"/>
      <c r="I57" s="181"/>
      <c r="J57" s="180">
        <f t="shared" si="2"/>
        <v>16919</v>
      </c>
      <c r="K57" s="182"/>
      <c r="L57" s="180">
        <f>J57/SUM($E$11:E57)</f>
        <v>169.19</v>
      </c>
    </row>
    <row r="58" spans="2:12" x14ac:dyDescent="0.2">
      <c r="B58" s="170"/>
      <c r="C58" s="167"/>
      <c r="D58" s="189"/>
      <c r="E58" s="155"/>
      <c r="F58" s="184"/>
      <c r="G58" s="180">
        <v>0</v>
      </c>
      <c r="H58" s="192"/>
      <c r="I58" s="181"/>
      <c r="J58" s="180">
        <f t="shared" si="2"/>
        <v>16919</v>
      </c>
      <c r="K58" s="182"/>
      <c r="L58" s="180">
        <f>J58/SUM($E$11:E58)</f>
        <v>169.19</v>
      </c>
    </row>
    <row r="59" spans="2:12" x14ac:dyDescent="0.2">
      <c r="B59" s="170"/>
      <c r="C59" s="167"/>
      <c r="D59" s="189"/>
      <c r="E59" s="155"/>
      <c r="F59" s="184"/>
      <c r="G59" s="180">
        <v>0</v>
      </c>
      <c r="H59" s="192"/>
      <c r="I59" s="181"/>
      <c r="J59" s="180">
        <f t="shared" si="2"/>
        <v>16919</v>
      </c>
      <c r="K59" s="182"/>
      <c r="L59" s="180">
        <f>J59/SUM($E$11:E59)</f>
        <v>169.19</v>
      </c>
    </row>
    <row r="60" spans="2:12" x14ac:dyDescent="0.2">
      <c r="B60" s="170"/>
      <c r="C60" s="167"/>
      <c r="D60" s="189"/>
      <c r="E60" s="155"/>
      <c r="F60" s="184"/>
      <c r="G60" s="180">
        <v>0</v>
      </c>
      <c r="H60" s="192"/>
      <c r="I60" s="181"/>
      <c r="J60" s="180">
        <f t="shared" si="2"/>
        <v>16919</v>
      </c>
      <c r="K60" s="182"/>
      <c r="L60" s="180">
        <f>J60/SUM($E$11:E60)</f>
        <v>169.19</v>
      </c>
    </row>
    <row r="61" spans="2:12" x14ac:dyDescent="0.2">
      <c r="B61" s="170"/>
      <c r="C61" s="167"/>
      <c r="D61" s="189"/>
      <c r="E61" s="155"/>
      <c r="F61" s="184"/>
      <c r="G61" s="180">
        <v>0</v>
      </c>
      <c r="H61" s="192"/>
      <c r="I61" s="181"/>
      <c r="J61" s="180">
        <f t="shared" si="2"/>
        <v>16919</v>
      </c>
      <c r="K61" s="182"/>
      <c r="L61" s="180">
        <f>J61/SUM($E$11:E61)</f>
        <v>169.19</v>
      </c>
    </row>
    <row r="62" spans="2:12" x14ac:dyDescent="0.2">
      <c r="B62" s="170"/>
      <c r="C62" s="167"/>
      <c r="D62" s="189"/>
      <c r="E62" s="155"/>
      <c r="F62" s="184"/>
      <c r="G62" s="180">
        <v>0</v>
      </c>
      <c r="H62" s="192"/>
      <c r="I62" s="181"/>
      <c r="J62" s="180">
        <f t="shared" si="2"/>
        <v>16919</v>
      </c>
      <c r="K62" s="182"/>
      <c r="L62" s="180">
        <f>J62/SUM($E$11:E62)</f>
        <v>169.19</v>
      </c>
    </row>
    <row r="63" spans="2:12" x14ac:dyDescent="0.2">
      <c r="B63" s="170"/>
      <c r="C63" s="167"/>
      <c r="D63" s="189"/>
      <c r="E63" s="155"/>
      <c r="F63" s="184"/>
      <c r="G63" s="180">
        <v>0</v>
      </c>
      <c r="H63" s="192"/>
      <c r="I63" s="181"/>
      <c r="J63" s="180">
        <f t="shared" si="2"/>
        <v>16919</v>
      </c>
      <c r="K63" s="182"/>
      <c r="L63" s="180">
        <f>J63/SUM($E$11:E63)</f>
        <v>169.19</v>
      </c>
    </row>
    <row r="64" spans="2:12" x14ac:dyDescent="0.2">
      <c r="B64" s="170"/>
      <c r="C64" s="167"/>
      <c r="D64" s="189"/>
      <c r="E64" s="155"/>
      <c r="F64" s="184"/>
      <c r="G64" s="180">
        <v>0</v>
      </c>
      <c r="H64" s="192"/>
      <c r="I64" s="181"/>
      <c r="J64" s="180">
        <f t="shared" si="2"/>
        <v>16919</v>
      </c>
      <c r="K64" s="182"/>
      <c r="L64" s="180">
        <f>J64/SUM($E$11:E64)</f>
        <v>169.19</v>
      </c>
    </row>
    <row r="65" spans="2:12" x14ac:dyDescent="0.2">
      <c r="B65" s="170"/>
      <c r="C65" s="167"/>
      <c r="D65" s="189"/>
      <c r="E65" s="155"/>
      <c r="F65" s="184"/>
      <c r="G65" s="180">
        <v>0</v>
      </c>
      <c r="H65" s="192"/>
      <c r="I65" s="181"/>
      <c r="J65" s="180">
        <f t="shared" si="2"/>
        <v>16919</v>
      </c>
      <c r="K65" s="182"/>
      <c r="L65" s="180">
        <f>J65/SUM($E$11:E65)</f>
        <v>169.19</v>
      </c>
    </row>
    <row r="66" spans="2:12" x14ac:dyDescent="0.2">
      <c r="B66" s="170"/>
      <c r="C66" s="167"/>
      <c r="D66" s="189"/>
      <c r="E66" s="155"/>
      <c r="F66" s="184"/>
      <c r="G66" s="180">
        <v>0</v>
      </c>
      <c r="H66" s="192"/>
      <c r="I66" s="181"/>
      <c r="J66" s="180">
        <f t="shared" si="2"/>
        <v>16919</v>
      </c>
      <c r="K66" s="182"/>
      <c r="L66" s="180">
        <f>J66/SUM($E$11:E66)</f>
        <v>169.19</v>
      </c>
    </row>
    <row r="67" spans="2:12" x14ac:dyDescent="0.2">
      <c r="B67" s="170"/>
      <c r="C67" s="167"/>
      <c r="D67" s="189"/>
      <c r="E67" s="155"/>
      <c r="F67" s="184"/>
      <c r="G67" s="180">
        <v>0</v>
      </c>
      <c r="H67" s="192"/>
      <c r="I67" s="181"/>
      <c r="J67" s="180">
        <f t="shared" si="2"/>
        <v>16919</v>
      </c>
      <c r="K67" s="182"/>
      <c r="L67" s="180">
        <f>J67/SUM($E$11:E67)</f>
        <v>169.19</v>
      </c>
    </row>
    <row r="68" spans="2:12" x14ac:dyDescent="0.2">
      <c r="B68" s="170"/>
      <c r="C68" s="167"/>
      <c r="D68" s="189"/>
      <c r="E68" s="155"/>
      <c r="F68" s="184"/>
      <c r="G68" s="180">
        <v>0</v>
      </c>
      <c r="H68" s="192"/>
      <c r="I68" s="181"/>
      <c r="J68" s="180">
        <f t="shared" si="2"/>
        <v>16919</v>
      </c>
      <c r="K68" s="182"/>
      <c r="L68" s="180">
        <f>J68/SUM($E$11:E68)</f>
        <v>169.19</v>
      </c>
    </row>
    <row r="69" spans="2:12" x14ac:dyDescent="0.2">
      <c r="B69" s="170"/>
      <c r="C69" s="167"/>
      <c r="D69" s="189"/>
      <c r="E69" s="155"/>
      <c r="F69" s="184"/>
      <c r="G69" s="180">
        <v>0</v>
      </c>
      <c r="H69" s="192"/>
      <c r="I69" s="181"/>
      <c r="J69" s="180">
        <f t="shared" si="2"/>
        <v>16919</v>
      </c>
      <c r="K69" s="182"/>
      <c r="L69" s="180">
        <f>J69/SUM($E$11:E69)</f>
        <v>169.19</v>
      </c>
    </row>
    <row r="70" spans="2:12" x14ac:dyDescent="0.2">
      <c r="B70" s="170"/>
      <c r="C70" s="167"/>
      <c r="D70" s="189"/>
      <c r="E70" s="155"/>
      <c r="F70" s="184"/>
      <c r="G70" s="180">
        <v>0</v>
      </c>
      <c r="H70" s="192"/>
      <c r="I70" s="181"/>
      <c r="J70" s="180">
        <f t="shared" si="2"/>
        <v>16919</v>
      </c>
      <c r="K70" s="182"/>
      <c r="L70" s="180">
        <f>J70/SUM($E$11:E70)</f>
        <v>169.19</v>
      </c>
    </row>
    <row r="71" spans="2:12" x14ac:dyDescent="0.2">
      <c r="B71" s="170"/>
      <c r="C71" s="167"/>
      <c r="D71" s="189"/>
      <c r="E71" s="155"/>
      <c r="F71" s="184"/>
      <c r="G71" s="180">
        <v>0</v>
      </c>
      <c r="H71" s="192"/>
      <c r="I71" s="181"/>
      <c r="J71" s="180">
        <f t="shared" si="2"/>
        <v>16919</v>
      </c>
      <c r="K71" s="182"/>
      <c r="L71" s="180">
        <f>J71/SUM($E$11:E71)</f>
        <v>169.19</v>
      </c>
    </row>
    <row r="72" spans="2:12" x14ac:dyDescent="0.2">
      <c r="B72" s="170"/>
      <c r="C72" s="167"/>
      <c r="D72" s="189"/>
      <c r="E72" s="155"/>
      <c r="F72" s="184"/>
      <c r="G72" s="180">
        <v>0</v>
      </c>
      <c r="H72" s="192"/>
      <c r="I72" s="181"/>
      <c r="J72" s="180">
        <f t="shared" si="2"/>
        <v>16919</v>
      </c>
      <c r="K72" s="182"/>
      <c r="L72" s="180">
        <f>J72/SUM($E$11:E72)</f>
        <v>169.19</v>
      </c>
    </row>
    <row r="73" spans="2:12" x14ac:dyDescent="0.2">
      <c r="B73" s="170"/>
      <c r="C73" s="167"/>
      <c r="D73" s="189"/>
      <c r="E73" s="155"/>
      <c r="F73" s="184"/>
      <c r="G73" s="180">
        <v>0</v>
      </c>
      <c r="H73" s="192"/>
      <c r="I73" s="181"/>
      <c r="J73" s="180">
        <f t="shared" si="2"/>
        <v>16919</v>
      </c>
      <c r="K73" s="182"/>
      <c r="L73" s="180">
        <f>J73/SUM($E$11:E73)</f>
        <v>169.19</v>
      </c>
    </row>
    <row r="74" spans="2:12" x14ac:dyDescent="0.2">
      <c r="B74" s="170"/>
      <c r="C74" s="167"/>
      <c r="D74" s="189"/>
      <c r="E74" s="155"/>
      <c r="F74" s="184"/>
      <c r="G74" s="180">
        <v>0</v>
      </c>
      <c r="H74" s="192"/>
      <c r="I74" s="181"/>
      <c r="J74" s="180">
        <f t="shared" si="2"/>
        <v>16919</v>
      </c>
      <c r="K74" s="182"/>
      <c r="L74" s="180">
        <f>J74/SUM($E$11:E74)</f>
        <v>169.19</v>
      </c>
    </row>
    <row r="75" spans="2:12" x14ac:dyDescent="0.2">
      <c r="B75" s="170"/>
      <c r="C75" s="167"/>
      <c r="D75" s="189"/>
      <c r="E75" s="155"/>
      <c r="F75" s="184"/>
      <c r="G75" s="180">
        <v>0</v>
      </c>
      <c r="H75" s="192"/>
      <c r="I75" s="181"/>
      <c r="J75" s="180">
        <f t="shared" si="2"/>
        <v>16919</v>
      </c>
      <c r="K75" s="182"/>
      <c r="L75" s="180">
        <f>J75/SUM($E$11:E75)</f>
        <v>169.19</v>
      </c>
    </row>
    <row r="76" spans="2:12" x14ac:dyDescent="0.2">
      <c r="B76" s="170"/>
      <c r="C76" s="167"/>
      <c r="D76" s="189"/>
      <c r="E76" s="155"/>
      <c r="F76" s="184"/>
      <c r="G76" s="180">
        <v>0</v>
      </c>
      <c r="H76" s="192"/>
      <c r="I76" s="181"/>
      <c r="J76" s="180">
        <f t="shared" si="2"/>
        <v>16919</v>
      </c>
      <c r="K76" s="182"/>
      <c r="L76" s="180">
        <f>J76/SUM($E$11:E76)</f>
        <v>169.19</v>
      </c>
    </row>
    <row r="77" spans="2:12" ht="19" x14ac:dyDescent="0.25">
      <c r="B77" s="15"/>
      <c r="C77" s="58"/>
      <c r="D77" s="16"/>
      <c r="E77" s="155"/>
      <c r="F77" s="18"/>
      <c r="G77" s="165">
        <f>SUM(G41:G76)</f>
        <v>-331</v>
      </c>
      <c r="H77" s="178"/>
      <c r="I77" s="20"/>
      <c r="J77" s="19"/>
      <c r="K77" s="31"/>
      <c r="L77" s="165">
        <f>J77/3400</f>
        <v>0</v>
      </c>
    </row>
    <row r="78" spans="2:12" ht="4.75" customHeight="1" x14ac:dyDescent="0.2">
      <c r="B78" s="15"/>
      <c r="C78" s="58"/>
      <c r="D78" s="17"/>
      <c r="E78" s="155"/>
      <c r="F78" s="18"/>
      <c r="G78" s="19"/>
      <c r="H78" s="19"/>
      <c r="I78" s="20"/>
      <c r="J78" s="20"/>
      <c r="K78" s="31"/>
      <c r="L78" s="17"/>
    </row>
    <row r="79" spans="2:12" ht="14" customHeight="1" x14ac:dyDescent="0.25">
      <c r="B79" s="15"/>
      <c r="C79" s="58"/>
      <c r="D79" s="17"/>
      <c r="E79" s="158"/>
      <c r="F79" s="24"/>
      <c r="I79" s="20"/>
      <c r="J79" s="20"/>
      <c r="K79" s="31"/>
      <c r="L79" s="17"/>
    </row>
  </sheetData>
  <mergeCells count="2">
    <mergeCell ref="B1:C1"/>
    <mergeCell ref="B8:G8"/>
  </mergeCells>
  <conditionalFormatting sqref="B77:B116">
    <cfRule type="expression" dxfId="65" priority="10" stopIfTrue="1">
      <formula>K77="assigned"</formula>
    </cfRule>
    <cfRule type="expression" dxfId="64" priority="11">
      <formula>K77="expired"</formula>
    </cfRule>
  </conditionalFormatting>
  <conditionalFormatting sqref="B77:B116">
    <cfRule type="expression" dxfId="63" priority="8">
      <formula>AND(ISNUMBER(SEARCH("call", B77)), K77="expired")</formula>
    </cfRule>
    <cfRule type="expression" dxfId="62" priority="9">
      <formula>AND(ISNUMBER(SEARCH("call", B77)), K77="assigned")</formula>
    </cfRule>
  </conditionalFormatting>
  <conditionalFormatting sqref="B41:B76">
    <cfRule type="expression" dxfId="61" priority="1" stopIfTrue="1">
      <formula>K41="closing"</formula>
    </cfRule>
    <cfRule type="expression" dxfId="60" priority="2" stopIfTrue="1">
      <formula>K41="closed"</formula>
    </cfRule>
    <cfRule type="expression" dxfId="59" priority="3" stopIfTrue="1">
      <formula>K41="ROLL"</formula>
    </cfRule>
    <cfRule type="expression" dxfId="58" priority="4" stopIfTrue="1">
      <formula>AND(ISNUMBER(SEARCH("call", B41)), K41="expired")</formula>
    </cfRule>
    <cfRule type="expression" dxfId="57" priority="5" stopIfTrue="1">
      <formula>AND(ISNUMBER(SEARCH("call", B41)), K41="assigned")</formula>
    </cfRule>
    <cfRule type="expression" dxfId="56" priority="6" stopIfTrue="1">
      <formula>K41="assigned"</formula>
    </cfRule>
    <cfRule type="expression" dxfId="55" priority="7">
      <formula>K41="expired"</formula>
    </cfRule>
  </conditionalFormatting>
  <pageMargins left="0.7" right="0.7" top="0.75" bottom="0.75" header="0.3" footer="0.3"/>
  <pageSetup paperSize="0" orientation="portrait" r:id="rId1"/>
</worksheet>
</file>

<file path=xl/worksheets/sheet5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9ADD-2F36-A447-BE0A-7A55C0EE4C47}">
  <sheetPr codeName="Sheet58"/>
  <dimension ref="B1:N78"/>
  <sheetViews>
    <sheetView topLeftCell="A27" zoomScale="120" zoomScaleNormal="120" workbookViewId="0">
      <selection activeCell="G49" sqref="G49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3.1640625" style="2" customWidth="1"/>
    <col min="14" max="14" width="12.6640625" bestFit="1" customWidth="1"/>
  </cols>
  <sheetData>
    <row r="1" spans="2:14" ht="29" customHeight="1" x14ac:dyDescent="0.2">
      <c r="B1" s="197" t="s">
        <v>515</v>
      </c>
      <c r="C1" s="197"/>
    </row>
    <row r="2" spans="2:14" x14ac:dyDescent="0.2">
      <c r="B2" s="1" t="s">
        <v>516</v>
      </c>
      <c r="C2" s="56"/>
      <c r="D2" s="2"/>
      <c r="F2" s="3"/>
      <c r="G2" s="4"/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IF(ISERROR(SUM(G38,G76)/G4),SUM(G38,G76),SUM(G38,G76)/G4)</f>
        <v>214.98000000000002</v>
      </c>
      <c r="I3" t="s">
        <v>279</v>
      </c>
      <c r="J3" s="30">
        <v>28.99</v>
      </c>
      <c r="K3" s="6"/>
    </row>
    <row r="4" spans="2:14" x14ac:dyDescent="0.2">
      <c r="B4" s="1"/>
      <c r="C4" s="56"/>
      <c r="D4" s="2"/>
      <c r="F4" s="3" t="s">
        <v>2</v>
      </c>
      <c r="G4" s="9">
        <f>SUM(E11:E37)</f>
        <v>10</v>
      </c>
    </row>
    <row r="5" spans="2:14" x14ac:dyDescent="0.2">
      <c r="C5" s="56"/>
      <c r="D5" s="2"/>
      <c r="F5" s="3"/>
      <c r="G5" s="4"/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 t="s">
        <v>23</v>
      </c>
      <c r="C11" s="58" t="d">
        <v>2025-08-08</v>
      </c>
      <c r="D11" s="16"/>
      <c r="E11" s="157">
        <v>10</v>
      </c>
      <c r="F11" s="21">
        <v>249.99</v>
      </c>
      <c r="G11" s="36">
        <f>E11*F11</f>
        <v>2499.9</v>
      </c>
      <c r="H11" s="20"/>
      <c r="I11" s="36">
        <f>G11</f>
        <v>2499.9</v>
      </c>
      <c r="J11" s="31"/>
      <c r="K11" s="36">
        <f>I11/E11</f>
        <v>249.99</v>
      </c>
    </row>
    <row r="12" spans="2:14" x14ac:dyDescent="0.2">
      <c r="B12" s="15" t="s">
        <v>24</v>
      </c>
      <c r="C12" s="58" t="d">
        <v>2025-09-23</v>
      </c>
      <c r="D12" s="16"/>
      <c r="E12" s="157"/>
      <c r="F12" s="21"/>
      <c r="G12" s="36">
        <v>-22.1</v>
      </c>
      <c r="H12" s="20"/>
      <c r="I12" s="36">
        <f>I11+G12</f>
        <v>2477.8000000000002</v>
      </c>
      <c r="J12" s="31"/>
      <c r="K12" s="36">
        <f>I12/SUM($E$11:E12)</f>
        <v>247.78000000000003</v>
      </c>
      <c r="N12" s="144" t="s">
        <v>268</v>
      </c>
    </row>
    <row r="13" spans="2:14" x14ac:dyDescent="0.2">
      <c r="B13" s="15"/>
      <c r="C13" s="58"/>
      <c r="D13" s="16"/>
      <c r="E13" s="157"/>
      <c r="F13" s="21"/>
      <c r="G13" s="36">
        <f t="shared" ref="G13:G37" si="0">E13*F13</f>
        <v>0</v>
      </c>
      <c r="H13" s="20"/>
      <c r="I13" s="36">
        <f>I12+G13</f>
        <v>2477.8000000000002</v>
      </c>
      <c r="J13" s="31"/>
      <c r="K13" s="36">
        <f>I13/SUM($E$11:E13)</f>
        <v>247.78000000000003</v>
      </c>
      <c r="N13" s="143" t="s">
        <v>269</v>
      </c>
    </row>
    <row r="14" spans="2:14" x14ac:dyDescent="0.2">
      <c r="B14" s="15"/>
      <c r="C14" s="58"/>
      <c r="D14" s="16"/>
      <c r="E14" s="157"/>
      <c r="F14" s="21"/>
      <c r="G14" s="36">
        <f t="shared" si="0"/>
        <v>0</v>
      </c>
      <c r="H14" s="20"/>
      <c r="I14" s="36">
        <f t="shared" ref="I14:I37" si="1">I13+G14</f>
        <v>2477.8000000000002</v>
      </c>
      <c r="J14" s="31"/>
      <c r="K14" s="36">
        <f>I14/SUM($E$11:E14)</f>
        <v>247.78000000000003</v>
      </c>
      <c r="N14" s="145" t="s">
        <v>270</v>
      </c>
    </row>
    <row r="15" spans="2:14" x14ac:dyDescent="0.2">
      <c r="B15" s="15"/>
      <c r="C15" s="58"/>
      <c r="D15" s="16"/>
      <c r="E15" s="157"/>
      <c r="F15" s="21"/>
      <c r="G15" s="36">
        <f t="shared" si="0"/>
        <v>0</v>
      </c>
      <c r="H15" s="20"/>
      <c r="I15" s="36">
        <f t="shared" si="1"/>
        <v>2477.8000000000002</v>
      </c>
      <c r="J15" s="31"/>
      <c r="K15" s="36">
        <f>I15/SUM($E$11:E15)</f>
        <v>247.78000000000003</v>
      </c>
      <c r="N15" s="146" t="s">
        <v>271</v>
      </c>
    </row>
    <row r="16" spans="2:14" x14ac:dyDescent="0.2">
      <c r="B16" s="15"/>
      <c r="C16" s="58"/>
      <c r="D16" s="16"/>
      <c r="E16" s="157"/>
      <c r="F16" s="21"/>
      <c r="G16" s="36">
        <f t="shared" si="0"/>
        <v>0</v>
      </c>
      <c r="H16" s="20"/>
      <c r="I16" s="36">
        <f t="shared" si="1"/>
        <v>2477.8000000000002</v>
      </c>
      <c r="J16" s="31"/>
      <c r="K16" s="36">
        <f>I16/SUM($E$11:E16)</f>
        <v>247.78000000000003</v>
      </c>
      <c r="N16" s="147" t="s">
        <v>266</v>
      </c>
    </row>
    <row r="17" spans="2:14" x14ac:dyDescent="0.2">
      <c r="B17" s="15"/>
      <c r="C17" s="58"/>
      <c r="D17" s="16"/>
      <c r="E17" s="157"/>
      <c r="F17" s="21"/>
      <c r="G17" s="36">
        <f t="shared" si="0"/>
        <v>0</v>
      </c>
      <c r="H17" s="20"/>
      <c r="I17" s="36">
        <f t="shared" si="1"/>
        <v>2477.8000000000002</v>
      </c>
      <c r="J17" s="31"/>
      <c r="K17" s="36">
        <f>I17/SUM($E$11:E17)</f>
        <v>247.78000000000003</v>
      </c>
      <c r="N17" s="164" t="s">
        <v>493</v>
      </c>
    </row>
    <row r="18" spans="2:14" x14ac:dyDescent="0.2">
      <c r="B18" s="15"/>
      <c r="C18" s="58"/>
      <c r="D18" s="16"/>
      <c r="E18" s="157"/>
      <c r="F18" s="21"/>
      <c r="G18" s="36">
        <f t="shared" si="0"/>
        <v>0</v>
      </c>
      <c r="H18" s="20"/>
      <c r="I18" s="36">
        <f t="shared" si="1"/>
        <v>2477.8000000000002</v>
      </c>
      <c r="J18" s="31"/>
      <c r="K18" s="36">
        <f>I18/SUM($E$11:E18)</f>
        <v>247.78000000000003</v>
      </c>
      <c r="N18" s="164" t="s">
        <v>546</v>
      </c>
    </row>
    <row r="19" spans="2:14" x14ac:dyDescent="0.2">
      <c r="B19" s="15"/>
      <c r="C19" s="58"/>
      <c r="D19" s="16"/>
      <c r="E19" s="157"/>
      <c r="F19" s="21"/>
      <c r="G19" s="36">
        <f t="shared" si="0"/>
        <v>0</v>
      </c>
      <c r="H19" s="20"/>
      <c r="I19" s="36">
        <f t="shared" si="1"/>
        <v>2477.8000000000002</v>
      </c>
      <c r="J19" s="31"/>
      <c r="K19" s="36">
        <f>I19/SUM($E$11:E19)</f>
        <v>247.78000000000003</v>
      </c>
    </row>
    <row r="20" spans="2:14" x14ac:dyDescent="0.2">
      <c r="B20" s="15"/>
      <c r="C20" s="58"/>
      <c r="D20" s="16"/>
      <c r="E20" s="157"/>
      <c r="F20" s="21"/>
      <c r="G20" s="36">
        <f t="shared" si="0"/>
        <v>0</v>
      </c>
      <c r="H20" s="20"/>
      <c r="I20" s="36">
        <f t="shared" si="1"/>
        <v>2477.8000000000002</v>
      </c>
      <c r="J20" s="31"/>
      <c r="K20" s="36">
        <f>I20/SUM($E$11:E20)</f>
        <v>247.78000000000003</v>
      </c>
    </row>
    <row r="21" spans="2:14" x14ac:dyDescent="0.2">
      <c r="B21" s="15"/>
      <c r="C21" s="58"/>
      <c r="D21" s="16"/>
      <c r="E21" s="157"/>
      <c r="F21" s="21"/>
      <c r="G21" s="36">
        <f t="shared" si="0"/>
        <v>0</v>
      </c>
      <c r="H21" s="20"/>
      <c r="I21" s="36">
        <f t="shared" si="1"/>
        <v>2477.8000000000002</v>
      </c>
      <c r="J21" s="31"/>
      <c r="K21" s="36">
        <f>I21/SUM($E$11:E21)</f>
        <v>247.78000000000003</v>
      </c>
    </row>
    <row r="22" spans="2:14" x14ac:dyDescent="0.2">
      <c r="B22" s="15"/>
      <c r="C22" s="58"/>
      <c r="D22" s="16"/>
      <c r="E22" s="157"/>
      <c r="F22" s="21"/>
      <c r="G22" s="36">
        <f t="shared" si="0"/>
        <v>0</v>
      </c>
      <c r="H22" s="20"/>
      <c r="I22" s="36">
        <f t="shared" si="1"/>
        <v>2477.8000000000002</v>
      </c>
      <c r="J22" s="31"/>
      <c r="K22" s="36">
        <f>I22/SUM($E$11:E22)</f>
        <v>247.78000000000003</v>
      </c>
    </row>
    <row r="23" spans="2:14" x14ac:dyDescent="0.2">
      <c r="B23" s="15"/>
      <c r="C23" s="58"/>
      <c r="D23" s="16"/>
      <c r="E23" s="157"/>
      <c r="F23" s="21"/>
      <c r="G23" s="36">
        <f t="shared" si="0"/>
        <v>0</v>
      </c>
      <c r="H23" s="20"/>
      <c r="I23" s="36">
        <f t="shared" si="1"/>
        <v>2477.8000000000002</v>
      </c>
      <c r="J23" s="31"/>
      <c r="K23" s="36">
        <f>I23/SUM($E$11:E23)</f>
        <v>247.78000000000003</v>
      </c>
    </row>
    <row r="24" spans="2:14" x14ac:dyDescent="0.2">
      <c r="B24" s="15"/>
      <c r="C24" s="58"/>
      <c r="D24" s="16"/>
      <c r="E24" s="157"/>
      <c r="F24" s="21"/>
      <c r="G24" s="36">
        <f t="shared" si="0"/>
        <v>0</v>
      </c>
      <c r="H24" s="20"/>
      <c r="I24" s="36">
        <f t="shared" si="1"/>
        <v>2477.8000000000002</v>
      </c>
      <c r="J24" s="31"/>
      <c r="K24" s="36">
        <f>I24/SUM($E$11:E24)</f>
        <v>247.78000000000003</v>
      </c>
    </row>
    <row r="25" spans="2:14" x14ac:dyDescent="0.2">
      <c r="B25" s="15"/>
      <c r="C25" s="58"/>
      <c r="D25" s="16"/>
      <c r="E25" s="157"/>
      <c r="F25" s="21"/>
      <c r="G25" s="36">
        <f t="shared" si="0"/>
        <v>0</v>
      </c>
      <c r="H25" s="20"/>
      <c r="I25" s="36">
        <f t="shared" si="1"/>
        <v>2477.8000000000002</v>
      </c>
      <c r="J25" s="31"/>
      <c r="K25" s="36">
        <f>I25/SUM($E$11:E25)</f>
        <v>247.78000000000003</v>
      </c>
    </row>
    <row r="26" spans="2:14" x14ac:dyDescent="0.2">
      <c r="B26" s="15"/>
      <c r="C26" s="58"/>
      <c r="D26" s="16"/>
      <c r="E26" s="157"/>
      <c r="F26" s="21"/>
      <c r="G26" s="36">
        <f t="shared" si="0"/>
        <v>0</v>
      </c>
      <c r="H26" s="20"/>
      <c r="I26" s="36">
        <f t="shared" si="1"/>
        <v>2477.8000000000002</v>
      </c>
      <c r="J26" s="31"/>
      <c r="K26" s="36">
        <f>I26/SUM($E$11:E26)</f>
        <v>247.78000000000003</v>
      </c>
    </row>
    <row r="27" spans="2:14" x14ac:dyDescent="0.2">
      <c r="B27" s="15"/>
      <c r="C27" s="58"/>
      <c r="D27" s="16"/>
      <c r="E27" s="157"/>
      <c r="F27" s="21"/>
      <c r="G27" s="36">
        <f t="shared" si="0"/>
        <v>0</v>
      </c>
      <c r="H27" s="20"/>
      <c r="I27" s="36">
        <f t="shared" si="1"/>
        <v>2477.8000000000002</v>
      </c>
      <c r="J27" s="31"/>
      <c r="K27" s="36">
        <f>I27/SUM($E$11:E27)</f>
        <v>247.78000000000003</v>
      </c>
    </row>
    <row r="28" spans="2:14" x14ac:dyDescent="0.2">
      <c r="B28" s="15"/>
      <c r="C28" s="58"/>
      <c r="D28" s="16"/>
      <c r="E28" s="157"/>
      <c r="F28" s="21"/>
      <c r="G28" s="36">
        <f t="shared" si="0"/>
        <v>0</v>
      </c>
      <c r="H28" s="20"/>
      <c r="I28" s="36">
        <f t="shared" si="1"/>
        <v>2477.8000000000002</v>
      </c>
      <c r="J28" s="31"/>
      <c r="K28" s="36">
        <f>I28/SUM($E$11:E28)</f>
        <v>247.78000000000003</v>
      </c>
    </row>
    <row r="29" spans="2:14" x14ac:dyDescent="0.2">
      <c r="B29" s="15"/>
      <c r="C29" s="58"/>
      <c r="D29" s="16"/>
      <c r="E29" s="157"/>
      <c r="F29" s="21"/>
      <c r="G29" s="36">
        <f t="shared" si="0"/>
        <v>0</v>
      </c>
      <c r="H29" s="20"/>
      <c r="I29" s="36">
        <f t="shared" si="1"/>
        <v>2477.8000000000002</v>
      </c>
      <c r="J29" s="31"/>
      <c r="K29" s="36">
        <f>I29/SUM($E$11:E29)</f>
        <v>247.78000000000003</v>
      </c>
    </row>
    <row r="30" spans="2:14" x14ac:dyDescent="0.2">
      <c r="B30" s="15"/>
      <c r="C30" s="58"/>
      <c r="D30" s="16"/>
      <c r="E30" s="157"/>
      <c r="F30" s="21"/>
      <c r="G30" s="36">
        <f t="shared" si="0"/>
        <v>0</v>
      </c>
      <c r="H30" s="20"/>
      <c r="I30" s="36">
        <f t="shared" si="1"/>
        <v>2477.8000000000002</v>
      </c>
      <c r="J30" s="31"/>
      <c r="K30" s="36">
        <f>I30/SUM($E$11:E30)</f>
        <v>247.78000000000003</v>
      </c>
    </row>
    <row r="31" spans="2:14" x14ac:dyDescent="0.2">
      <c r="B31" s="15"/>
      <c r="C31" s="58"/>
      <c r="D31" s="16"/>
      <c r="E31" s="157"/>
      <c r="F31" s="21"/>
      <c r="G31" s="36">
        <f t="shared" si="0"/>
        <v>0</v>
      </c>
      <c r="H31" s="20"/>
      <c r="I31" s="36">
        <f t="shared" si="1"/>
        <v>2477.8000000000002</v>
      </c>
      <c r="J31" s="31"/>
      <c r="K31" s="36">
        <f>I31/SUM($E$11:E31)</f>
        <v>247.78000000000003</v>
      </c>
    </row>
    <row r="32" spans="2:14" x14ac:dyDescent="0.2">
      <c r="B32" s="15"/>
      <c r="C32" s="58"/>
      <c r="D32" s="16"/>
      <c r="E32" s="157"/>
      <c r="F32" s="21"/>
      <c r="G32" s="36">
        <f t="shared" si="0"/>
        <v>0</v>
      </c>
      <c r="H32" s="20"/>
      <c r="I32" s="36">
        <f t="shared" si="1"/>
        <v>2477.8000000000002</v>
      </c>
      <c r="J32" s="31"/>
      <c r="K32" s="36">
        <f>I32/SUM($E$11:E32)</f>
        <v>247.78000000000003</v>
      </c>
    </row>
    <row r="33" spans="2:11" x14ac:dyDescent="0.2">
      <c r="B33" s="15"/>
      <c r="C33" s="58"/>
      <c r="D33" s="16"/>
      <c r="E33" s="157"/>
      <c r="F33" s="21"/>
      <c r="G33" s="36">
        <f t="shared" si="0"/>
        <v>0</v>
      </c>
      <c r="H33" s="20"/>
      <c r="I33" s="36">
        <f t="shared" si="1"/>
        <v>2477.8000000000002</v>
      </c>
      <c r="J33" s="31"/>
      <c r="K33" s="36">
        <f>I33/SUM($E$11:E33)</f>
        <v>247.78000000000003</v>
      </c>
    </row>
    <row r="34" spans="2:11" x14ac:dyDescent="0.2">
      <c r="B34" s="15"/>
      <c r="C34" s="58"/>
      <c r="D34" s="16"/>
      <c r="E34" s="157"/>
      <c r="F34" s="21"/>
      <c r="G34" s="36">
        <f t="shared" si="0"/>
        <v>0</v>
      </c>
      <c r="H34" s="20"/>
      <c r="I34" s="36">
        <f t="shared" si="1"/>
        <v>2477.8000000000002</v>
      </c>
      <c r="J34" s="31"/>
      <c r="K34" s="36">
        <f>I34/SUM($E$11:E34)</f>
        <v>247.78000000000003</v>
      </c>
    </row>
    <row r="35" spans="2:11" x14ac:dyDescent="0.2">
      <c r="B35" s="15"/>
      <c r="C35" s="58"/>
      <c r="D35" s="16"/>
      <c r="E35" s="157"/>
      <c r="F35" s="21"/>
      <c r="G35" s="36">
        <f t="shared" si="0"/>
        <v>0</v>
      </c>
      <c r="H35" s="20"/>
      <c r="I35" s="36">
        <f t="shared" si="1"/>
        <v>2477.8000000000002</v>
      </c>
      <c r="J35" s="31"/>
      <c r="K35" s="36">
        <f>I35/SUM($E$11:E35)</f>
        <v>247.78000000000003</v>
      </c>
    </row>
    <row r="36" spans="2:11" x14ac:dyDescent="0.2">
      <c r="B36" s="15"/>
      <c r="C36" s="58"/>
      <c r="D36" s="16"/>
      <c r="E36" s="157"/>
      <c r="F36" s="21"/>
      <c r="G36" s="36">
        <f t="shared" si="0"/>
        <v>0</v>
      </c>
      <c r="H36" s="20"/>
      <c r="I36" s="36">
        <f>I19+G36</f>
        <v>2477.8000000000002</v>
      </c>
      <c r="J36" s="31"/>
      <c r="K36" s="36">
        <f>I36/SUM($E$11:E36)</f>
        <v>247.78000000000003</v>
      </c>
    </row>
    <row r="37" spans="2:11" x14ac:dyDescent="0.2">
      <c r="B37" s="15"/>
      <c r="C37" s="58"/>
      <c r="D37" s="16"/>
      <c r="E37" s="157"/>
      <c r="F37" s="21"/>
      <c r="G37" s="36">
        <f t="shared" si="0"/>
        <v>0</v>
      </c>
      <c r="H37" s="20"/>
      <c r="I37" s="36">
        <f t="shared" si="1"/>
        <v>2477.8000000000002</v>
      </c>
      <c r="J37" s="31"/>
      <c r="K37" s="36">
        <f>I37/SUM($E$11:E37)</f>
        <v>247.78000000000003</v>
      </c>
    </row>
    <row r="38" spans="2:11" ht="19" x14ac:dyDescent="0.25">
      <c r="B38" s="15"/>
      <c r="C38" s="58"/>
      <c r="D38" s="16"/>
      <c r="E38" s="155"/>
      <c r="F38" s="18"/>
      <c r="G38" s="165">
        <f>SUM(G11:G37)</f>
        <v>2477.8000000000002</v>
      </c>
      <c r="H38" s="20"/>
      <c r="I38" s="19"/>
      <c r="J38" s="31"/>
      <c r="K38" s="165">
        <f>SUM(G11:G37)/SUM(E11:E38)</f>
        <v>247.78000000000003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20" customHeight="1" x14ac:dyDescent="0.2">
      <c r="B41" s="39" t="s">
        <v>517</v>
      </c>
      <c r="C41" s="58" t="d">
        <v>2025-07-14</v>
      </c>
      <c r="D41" s="16"/>
      <c r="E41" s="155"/>
      <c r="F41" s="21"/>
      <c r="G41" s="36">
        <v>-102</v>
      </c>
      <c r="H41" s="20"/>
      <c r="I41" s="36">
        <f>I13+G41</f>
        <v>2375.8000000000002</v>
      </c>
      <c r="J41" s="31" t="s">
        <v>10</v>
      </c>
      <c r="K41" s="36">
        <f>I41/SUM($E$11:E41)</f>
        <v>237.58</v>
      </c>
    </row>
    <row r="42" spans="2:11" ht="32" x14ac:dyDescent="0.2">
      <c r="B42" s="39" t="s">
        <v>518</v>
      </c>
      <c r="C42" s="58" t="d">
        <v>2025-07-14</v>
      </c>
      <c r="D42" s="16"/>
      <c r="E42" s="155"/>
      <c r="F42" s="21"/>
      <c r="G42" s="36">
        <v>-69</v>
      </c>
      <c r="H42" s="17"/>
      <c r="I42" s="36">
        <f t="shared" ref="I42:I75" si="2">I41+G42</f>
        <v>2306.8000000000002</v>
      </c>
      <c r="J42" s="31" t="s">
        <v>281</v>
      </c>
      <c r="K42" s="36">
        <f>I42/SUM($E$11:E42)</f>
        <v>230.68</v>
      </c>
    </row>
    <row r="43" spans="2:11" ht="32" x14ac:dyDescent="0.2">
      <c r="B43" s="39" t="s">
        <v>519</v>
      </c>
      <c r="C43" s="58" t="d">
        <v>2025-07-18</v>
      </c>
      <c r="D43" s="16"/>
      <c r="E43" s="155"/>
      <c r="G43" s="36">
        <v>-55</v>
      </c>
      <c r="H43" s="17"/>
      <c r="I43" s="36">
        <f t="shared" si="2"/>
        <v>2251.8000000000002</v>
      </c>
      <c r="J43" s="31" t="s">
        <v>281</v>
      </c>
      <c r="K43" s="36">
        <f>I43/SUM($E$11:E43)</f>
        <v>225.18</v>
      </c>
    </row>
    <row r="44" spans="2:11" ht="32" x14ac:dyDescent="0.2">
      <c r="B44" s="39" t="s">
        <v>520</v>
      </c>
      <c r="C44" s="58" t="d">
        <v>2025-07-21</v>
      </c>
      <c r="D44" s="16"/>
      <c r="E44" s="155"/>
      <c r="F44" s="18"/>
      <c r="G44" s="36">
        <v>-5</v>
      </c>
      <c r="H44" s="17"/>
      <c r="I44" s="36">
        <f t="shared" si="2"/>
        <v>2246.8000000000002</v>
      </c>
      <c r="J44" s="31" t="s">
        <v>281</v>
      </c>
      <c r="K44" s="36">
        <f>I44/SUM($E$11:E44)</f>
        <v>224.68</v>
      </c>
    </row>
    <row r="45" spans="2:11" ht="48" x14ac:dyDescent="0.2">
      <c r="B45" s="39" t="s">
        <v>521</v>
      </c>
      <c r="C45" s="58" t="d">
        <v>2025-07-30</v>
      </c>
      <c r="D45" s="16"/>
      <c r="E45" s="155"/>
      <c r="F45" s="18"/>
      <c r="G45" s="36">
        <v>1</v>
      </c>
      <c r="H45" s="17"/>
      <c r="I45" s="36">
        <f t="shared" si="2"/>
        <v>2247.8000000000002</v>
      </c>
      <c r="J45" s="31" t="s">
        <v>281</v>
      </c>
      <c r="K45" s="36">
        <f>I45/SUM($E$11:E45)</f>
        <v>224.78000000000003</v>
      </c>
    </row>
    <row r="46" spans="2:11" ht="32" x14ac:dyDescent="0.2">
      <c r="B46" s="39" t="s">
        <v>522</v>
      </c>
      <c r="C46" s="58" t="d">
        <v>2025-08-01</v>
      </c>
      <c r="D46" s="16"/>
      <c r="E46" s="155"/>
      <c r="F46" s="18"/>
      <c r="G46" s="36">
        <v>-55</v>
      </c>
      <c r="H46" s="17"/>
      <c r="I46" s="36">
        <f t="shared" si="2"/>
        <v>2192.8000000000002</v>
      </c>
      <c r="J46" s="31" t="s">
        <v>281</v>
      </c>
      <c r="K46" s="36">
        <f>I46/SUM($E$11:E46)</f>
        <v>219.28000000000003</v>
      </c>
    </row>
    <row r="47" spans="2:11" ht="32" x14ac:dyDescent="0.2">
      <c r="B47" s="39" t="s">
        <v>540</v>
      </c>
      <c r="C47" s="58" t="d">
        <v>2025-08-14</v>
      </c>
      <c r="D47" s="16"/>
      <c r="E47" s="155"/>
      <c r="F47" s="18"/>
      <c r="G47" s="36">
        <v>-118</v>
      </c>
      <c r="H47" s="17"/>
      <c r="I47" s="36">
        <f t="shared" si="2"/>
        <v>2074.8000000000002</v>
      </c>
      <c r="J47" s="31" t="s">
        <v>127</v>
      </c>
      <c r="K47" s="36">
        <f>I47/SUM($E$11:E47)</f>
        <v>207.48000000000002</v>
      </c>
    </row>
    <row r="48" spans="2:11" ht="32" x14ac:dyDescent="0.2">
      <c r="B48" s="39" t="s">
        <v>541</v>
      </c>
      <c r="C48" s="58" t="d">
        <v>2025-08-18</v>
      </c>
      <c r="D48" s="16"/>
      <c r="E48" s="155"/>
      <c r="F48" s="18"/>
      <c r="G48" s="36">
        <v>-45</v>
      </c>
      <c r="H48" s="20"/>
      <c r="I48" s="36">
        <f t="shared" si="2"/>
        <v>2029.8000000000002</v>
      </c>
      <c r="J48" s="31" t="s">
        <v>127</v>
      </c>
      <c r="K48" s="36">
        <f>I48/SUM($E$11:E48)</f>
        <v>202.98000000000002</v>
      </c>
    </row>
    <row r="49" spans="2:11" ht="32" x14ac:dyDescent="0.2">
      <c r="B49" s="39" t="s">
        <v>542</v>
      </c>
      <c r="C49" s="58" t="d">
        <v>2025-08-18</v>
      </c>
      <c r="D49" s="16"/>
      <c r="E49" s="155"/>
      <c r="F49" s="18"/>
      <c r="G49" s="36" t="s">
        <v>561</v>
      </c>
      <c r="H49" s="20"/>
      <c r="I49" s="36" t="e">
        <f t="shared" si="2"/>
        <v>#VALUE!</v>
      </c>
      <c r="J49" s="31" t="s">
        <v>539</v>
      </c>
      <c r="K49" s="36" t="e">
        <f>I49/SUM($E$11:E49)</f>
        <v>#VALUE!</v>
      </c>
    </row>
    <row r="50" spans="2:11" ht="32" x14ac:dyDescent="0.2">
      <c r="B50" s="39" t="s">
        <v>560</v>
      </c>
      <c r="C50" s="58" t="d">
        <v>2025-09-12</v>
      </c>
      <c r="D50" s="16"/>
      <c r="E50" s="155"/>
      <c r="F50" s="18"/>
      <c r="G50" s="36">
        <v>120</v>
      </c>
      <c r="H50" s="20"/>
      <c r="I50" s="36" t="e">
        <f t="shared" si="2"/>
        <v>#VALUE!</v>
      </c>
      <c r="J50" s="31" t="s">
        <v>539</v>
      </c>
      <c r="K50" s="36" t="e">
        <f>I50/SUM($E$11:E50)</f>
        <v>#VALUE!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 t="e">
        <f t="shared" si="2"/>
        <v>#VALUE!</v>
      </c>
      <c r="J51" s="31"/>
      <c r="K51" s="36" t="e">
        <f>I51/SUM($E$11:E51)</f>
        <v>#VALUE!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 t="e">
        <f t="shared" si="2"/>
        <v>#VALUE!</v>
      </c>
      <c r="J52" s="31"/>
      <c r="K52" s="36" t="e">
        <f>I52/SUM($E$11:E52)</f>
        <v>#VALUE!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 t="e">
        <f t="shared" si="2"/>
        <v>#VALUE!</v>
      </c>
      <c r="J53" s="31"/>
      <c r="K53" s="36" t="e">
        <f>I53/SUM($E$11:E53)</f>
        <v>#VALUE!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 t="e">
        <f t="shared" si="2"/>
        <v>#VALUE!</v>
      </c>
      <c r="J54" s="31"/>
      <c r="K54" s="36" t="e">
        <f>I54/SUM($E$11:E54)</f>
        <v>#VALUE!</v>
      </c>
    </row>
    <row r="55" spans="2:11" ht="16" customHeight="1" x14ac:dyDescent="0.2">
      <c r="B55" s="39"/>
      <c r="C55" s="58"/>
      <c r="D55" s="16"/>
      <c r="E55" s="155"/>
      <c r="F55" s="18"/>
      <c r="G55" s="36">
        <v>0</v>
      </c>
      <c r="H55" s="20"/>
      <c r="I55" s="36" t="e">
        <f t="shared" si="2"/>
        <v>#VALUE!</v>
      </c>
      <c r="J55" s="31"/>
      <c r="K55" s="36" t="e">
        <f>I55/SUM($E$11:E55)</f>
        <v>#VALUE!</v>
      </c>
    </row>
    <row r="56" spans="2:11" ht="18" customHeight="1" x14ac:dyDescent="0.2">
      <c r="B56" s="39"/>
      <c r="C56" s="58"/>
      <c r="D56" s="16"/>
      <c r="E56" s="155"/>
      <c r="F56" s="18"/>
      <c r="G56" s="36">
        <v>0</v>
      </c>
      <c r="H56" s="20"/>
      <c r="I56" s="36" t="e">
        <f t="shared" si="2"/>
        <v>#VALUE!</v>
      </c>
      <c r="J56" s="31"/>
      <c r="K56" s="36" t="e">
        <f>I56/SUM($E$11:E56)</f>
        <v>#VALUE!</v>
      </c>
    </row>
    <row r="57" spans="2:11" x14ac:dyDescent="0.2">
      <c r="B57" s="39"/>
      <c r="C57" s="58"/>
      <c r="D57" s="16"/>
      <c r="E57" s="155"/>
      <c r="F57" s="18"/>
      <c r="G57" s="36">
        <v>0</v>
      </c>
      <c r="H57" s="20"/>
      <c r="I57" s="36" t="e">
        <f t="shared" si="2"/>
        <v>#VALUE!</v>
      </c>
      <c r="J57" s="31"/>
      <c r="K57" s="36" t="e">
        <f>I57/SUM($E$11:E57)</f>
        <v>#VALUE!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 t="e">
        <f t="shared" si="2"/>
        <v>#VALUE!</v>
      </c>
      <c r="J58" s="31"/>
      <c r="K58" s="36" t="e">
        <f>I58/SUM($E$11:E58)</f>
        <v>#VALUE!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 t="e">
        <f t="shared" si="2"/>
        <v>#VALUE!</v>
      </c>
      <c r="J59" s="31"/>
      <c r="K59" s="36" t="e">
        <f>I59/SUM($E$11:E59)</f>
        <v>#VALUE!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 t="e">
        <f t="shared" si="2"/>
        <v>#VALUE!</v>
      </c>
      <c r="J60" s="31"/>
      <c r="K60" s="36" t="e">
        <f>I60/SUM($E$11:E60)</f>
        <v>#VALUE!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 t="e">
        <f t="shared" si="2"/>
        <v>#VALUE!</v>
      </c>
      <c r="J61" s="31"/>
      <c r="K61" s="36" t="e">
        <f>I61/SUM($E$11:E61)</f>
        <v>#VALUE!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 t="e">
        <f t="shared" si="2"/>
        <v>#VALUE!</v>
      </c>
      <c r="J62" s="31"/>
      <c r="K62" s="36" t="e">
        <f>I62/SUM($E$11:E62)</f>
        <v>#VALUE!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 t="e">
        <f t="shared" si="2"/>
        <v>#VALUE!</v>
      </c>
      <c r="J63" s="31"/>
      <c r="K63" s="36" t="e">
        <f>I63/SUM($E$11:E63)</f>
        <v>#VALUE!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 t="e">
        <f t="shared" si="2"/>
        <v>#VALUE!</v>
      </c>
      <c r="J64" s="31"/>
      <c r="K64" s="36" t="e">
        <f>I64/SUM($E$11:E64)</f>
        <v>#VALUE!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 t="e">
        <f t="shared" si="2"/>
        <v>#VALUE!</v>
      </c>
      <c r="J65" s="31"/>
      <c r="K65" s="36" t="e">
        <f>I65/SUM($E$11:E65)</f>
        <v>#VALUE!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 t="e">
        <f t="shared" si="2"/>
        <v>#VALUE!</v>
      </c>
      <c r="J66" s="31"/>
      <c r="K66" s="36" t="e">
        <f>I66/SUM($E$11:E66)</f>
        <v>#VALUE!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 t="e">
        <f t="shared" si="2"/>
        <v>#VALUE!</v>
      </c>
      <c r="J67" s="31"/>
      <c r="K67" s="36" t="e">
        <f>I67/SUM($E$11:E67)</f>
        <v>#VALUE!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 t="e">
        <f t="shared" si="2"/>
        <v>#VALUE!</v>
      </c>
      <c r="J68" s="31"/>
      <c r="K68" s="36" t="e">
        <f>I68/SUM($E$11:E68)</f>
        <v>#VALUE!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 t="e">
        <f t="shared" si="2"/>
        <v>#VALUE!</v>
      </c>
      <c r="J69" s="31"/>
      <c r="K69" s="36" t="e">
        <f>I69/SUM($E$11:E69)</f>
        <v>#VALUE!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 t="e">
        <f t="shared" si="2"/>
        <v>#VALUE!</v>
      </c>
      <c r="J70" s="31"/>
      <c r="K70" s="36" t="e">
        <f>I70/SUM($E$11:E70)</f>
        <v>#VALUE!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 t="e">
        <f t="shared" si="2"/>
        <v>#VALUE!</v>
      </c>
      <c r="J71" s="31"/>
      <c r="K71" s="36" t="e">
        <f>I71/SUM($E$11:E71)</f>
        <v>#VALUE!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 t="e">
        <f t="shared" si="2"/>
        <v>#VALUE!</v>
      </c>
      <c r="J72" s="31"/>
      <c r="K72" s="36" t="e">
        <f>I72/SUM($E$11:E72)</f>
        <v>#VALUE!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 t="e">
        <f t="shared" si="2"/>
        <v>#VALUE!</v>
      </c>
      <c r="J73" s="31"/>
      <c r="K73" s="36" t="e">
        <f>I73/SUM($E$11:E73)</f>
        <v>#VALUE!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 t="e">
        <f t="shared" si="2"/>
        <v>#VALUE!</v>
      </c>
      <c r="J74" s="31"/>
      <c r="K74" s="36" t="e">
        <f>I74/SUM($E$11:E74)</f>
        <v>#VALUE!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 t="e">
        <f t="shared" si="2"/>
        <v>#VALUE!</v>
      </c>
      <c r="J75" s="31"/>
      <c r="K75" s="36" t="e">
        <f>I75/SUM($E$11:E75)</f>
        <v>#VALUE!</v>
      </c>
    </row>
    <row r="76" spans="2:11" ht="19" x14ac:dyDescent="0.25">
      <c r="B76" s="15"/>
      <c r="C76" s="58"/>
      <c r="D76" s="16"/>
      <c r="E76" s="155"/>
      <c r="F76" s="18"/>
      <c r="G76" s="165">
        <f>SUM(G41:G75)</f>
        <v>-328</v>
      </c>
      <c r="H76" s="20"/>
      <c r="I76" s="19"/>
      <c r="J76" s="31"/>
      <c r="K76" s="165">
        <f>I76/3400</f>
        <v>0</v>
      </c>
    </row>
    <row r="77" spans="2:11" ht="4.75" customHeight="1" x14ac:dyDescent="0.2">
      <c r="B77" s="15"/>
      <c r="C77" s="58"/>
      <c r="D77" s="17"/>
      <c r="E77" s="155"/>
      <c r="F77" s="18"/>
      <c r="G77" s="19"/>
      <c r="H77" s="20"/>
      <c r="I77" s="20"/>
      <c r="J77" s="31"/>
      <c r="K77" s="17"/>
    </row>
    <row r="78" spans="2:11" ht="14" customHeight="1" x14ac:dyDescent="0.25">
      <c r="B78" s="15"/>
      <c r="C78" s="58"/>
      <c r="D78" s="17"/>
      <c r="E78" s="158"/>
      <c r="F78" s="24"/>
      <c r="H78" s="20"/>
      <c r="I78" s="20"/>
      <c r="J78" s="31"/>
      <c r="K78" s="17"/>
    </row>
  </sheetData>
  <mergeCells count="2">
    <mergeCell ref="B1:C1"/>
    <mergeCell ref="B8:G8"/>
  </mergeCells>
  <conditionalFormatting sqref="B76:B115">
    <cfRule type="expression" dxfId="54" priority="26" stopIfTrue="1">
      <formula>J76="assigned"</formula>
    </cfRule>
    <cfRule type="expression" dxfId="53" priority="27">
      <formula>J76="expired"</formula>
    </cfRule>
  </conditionalFormatting>
  <conditionalFormatting sqref="B76:B115">
    <cfRule type="expression" dxfId="52" priority="24">
      <formula>AND(ISNUMBER(SEARCH("call", B76)), J76="expired")</formula>
    </cfRule>
    <cfRule type="expression" dxfId="51" priority="25">
      <formula>AND(ISNUMBER(SEARCH("call", B76)), J76="assigned")</formula>
    </cfRule>
  </conditionalFormatting>
  <conditionalFormatting sqref="B69:B75">
    <cfRule type="expression" dxfId="50" priority="18" stopIfTrue="1">
      <formula>J69="closed"</formula>
    </cfRule>
    <cfRule type="expression" dxfId="49" priority="19" stopIfTrue="1">
      <formula>J69="ROLL"</formula>
    </cfRule>
    <cfRule type="expression" dxfId="48" priority="20" stopIfTrue="1">
      <formula>AND(ISNUMBER(SEARCH("call", B69)), J69="expired")</formula>
    </cfRule>
    <cfRule type="expression" dxfId="47" priority="21" stopIfTrue="1">
      <formula>AND(ISNUMBER(SEARCH("call", B69)), J69="assigned")</formula>
    </cfRule>
    <cfRule type="expression" dxfId="46" priority="22" stopIfTrue="1">
      <formula>J69="assigned"</formula>
    </cfRule>
    <cfRule type="expression" dxfId="45" priority="23">
      <formula>J69="expired"</formula>
    </cfRule>
  </conditionalFormatting>
  <conditionalFormatting sqref="B41:B68">
    <cfRule type="expression" dxfId="44" priority="1" stopIfTrue="1">
      <formula>J41="closing"</formula>
    </cfRule>
    <cfRule type="expression" dxfId="43" priority="2" stopIfTrue="1">
      <formula>J41="closed"</formula>
    </cfRule>
    <cfRule type="expression" dxfId="42" priority="3" stopIfTrue="1">
      <formula>J41="ROLL"</formula>
    </cfRule>
    <cfRule type="expression" dxfId="41" priority="4" stopIfTrue="1">
      <formula>AND(ISNUMBER(SEARCH("call", B41)), J41="expired")</formula>
    </cfRule>
    <cfRule type="expression" dxfId="40" priority="5" stopIfTrue="1">
      <formula>AND(ISNUMBER(SEARCH("call", B41)), J41="assigned")</formula>
    </cfRule>
    <cfRule type="expression" dxfId="39" priority="6" stopIfTrue="1">
      <formula>J41="assigned"</formula>
    </cfRule>
    <cfRule type="expression" dxfId="38" priority="7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5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6AD9-CE51-6B49-9CE3-AD23AB5F5707}">
  <sheetPr codeName="Sheet47"/>
  <dimension ref="B1:N79"/>
  <sheetViews>
    <sheetView zoomScale="120" zoomScaleNormal="120" workbookViewId="0">
      <selection activeCell="J42" sqref="J42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398</v>
      </c>
      <c r="C1" s="197"/>
    </row>
    <row r="2" spans="2:14" x14ac:dyDescent="0.2">
      <c r="B2" s="1" t="s">
        <v>399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59.634999999999998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200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>
        <v>100</v>
      </c>
      <c r="F11" s="21">
        <v>70</v>
      </c>
      <c r="G11" s="44">
        <f>E11*F11</f>
        <v>7000</v>
      </c>
      <c r="H11" s="20"/>
      <c r="I11" s="36">
        <f>G11</f>
        <v>7000</v>
      </c>
      <c r="J11" s="31"/>
      <c r="K11" s="36">
        <f>I11/E11</f>
        <v>70</v>
      </c>
    </row>
    <row r="12" spans="2:14" x14ac:dyDescent="0.2">
      <c r="B12" s="15"/>
      <c r="C12" s="58"/>
      <c r="D12" s="16"/>
      <c r="E12" s="157">
        <v>100</v>
      </c>
      <c r="F12" s="21">
        <v>50</v>
      </c>
      <c r="G12" s="44">
        <f>E12*F12</f>
        <v>5000</v>
      </c>
      <c r="H12" s="20"/>
      <c r="I12" s="36">
        <f>I11+G12</f>
        <v>12000</v>
      </c>
      <c r="J12" s="31"/>
      <c r="K12" s="36">
        <f>I12/SUM($E$11:E12)</f>
        <v>60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12000</v>
      </c>
      <c r="J13" s="31"/>
      <c r="K13" s="36">
        <f>I13/SUM($E$11:E13)</f>
        <v>60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12000</v>
      </c>
      <c r="J14" s="31"/>
      <c r="K14" s="36">
        <f>I14/SUM($E$11:E14)</f>
        <v>60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12000</v>
      </c>
      <c r="J15" s="31"/>
      <c r="K15" s="36">
        <f>I15/SUM($E$11:E15)</f>
        <v>60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12000</v>
      </c>
      <c r="J16" s="31"/>
      <c r="K16" s="36">
        <f>I16/SUM($E$11:E16)</f>
        <v>60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12000</v>
      </c>
      <c r="J17" s="31"/>
      <c r="K17" s="36">
        <f>I17/SUM($E$11:E17)</f>
        <v>60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12000</v>
      </c>
      <c r="J18" s="31"/>
      <c r="K18" s="36">
        <f>I18/SUM($E$11:E18)</f>
        <v>60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12000</v>
      </c>
      <c r="J19" s="31"/>
      <c r="K19" s="36">
        <f>I19/SUM($E$11:E19)</f>
        <v>60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12000</v>
      </c>
      <c r="J20" s="31"/>
      <c r="K20" s="36">
        <f>I20/SUM($E$11:E20)</f>
        <v>60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12000</v>
      </c>
      <c r="J21" s="31"/>
      <c r="K21" s="36">
        <f>I21/SUM($E$11:E21)</f>
        <v>60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12000</v>
      </c>
      <c r="J22" s="31"/>
      <c r="K22" s="36">
        <f>I22/SUM($E$11:E22)</f>
        <v>60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12000</v>
      </c>
      <c r="J23" s="31"/>
      <c r="K23" s="36">
        <f>I23/SUM($E$11:E23)</f>
        <v>60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12000</v>
      </c>
      <c r="J24" s="31"/>
      <c r="K24" s="36">
        <f>I24/SUM($E$11:E24)</f>
        <v>60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12000</v>
      </c>
      <c r="J25" s="31"/>
      <c r="K25" s="36">
        <f>I25/SUM($E$11:E25)</f>
        <v>60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12000</v>
      </c>
      <c r="J26" s="31"/>
      <c r="K26" s="36">
        <f>I26/SUM($E$11:E26)</f>
        <v>60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12000</v>
      </c>
      <c r="J27" s="31"/>
      <c r="K27" s="36">
        <f>I27/SUM($E$11:E27)</f>
        <v>60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12000</v>
      </c>
      <c r="J28" s="31"/>
      <c r="K28" s="36">
        <f>I28/SUM($E$11:E28)</f>
        <v>60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12000</v>
      </c>
      <c r="J29" s="31"/>
      <c r="K29" s="36">
        <f>I29/SUM($E$11:E29)</f>
        <v>60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12000</v>
      </c>
      <c r="J30" s="31"/>
      <c r="K30" s="36">
        <f>I30/SUM($E$11:E30)</f>
        <v>60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12000</v>
      </c>
      <c r="J31" s="31"/>
      <c r="K31" s="36">
        <f>I31/SUM($E$11:E31)</f>
        <v>60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12000</v>
      </c>
      <c r="J32" s="31"/>
      <c r="K32" s="36">
        <f>I32/SUM($E$11:E32)</f>
        <v>60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12000</v>
      </c>
      <c r="J33" s="31"/>
      <c r="K33" s="36">
        <f>I33/SUM($E$11:E33)</f>
        <v>60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12000</v>
      </c>
      <c r="J34" s="31"/>
      <c r="K34" s="36">
        <f>I34/SUM($E$11:E34)</f>
        <v>60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12000</v>
      </c>
      <c r="J35" s="31"/>
      <c r="K35" s="36">
        <f>I35/SUM($E$11:E35)</f>
        <v>60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12000</v>
      </c>
      <c r="J36" s="31"/>
      <c r="K36" s="36">
        <f>I36/SUM($E$11:E36)</f>
        <v>60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12000</v>
      </c>
      <c r="J37" s="31"/>
      <c r="K37" s="36">
        <f>I37/SUM($E$11:E37)</f>
        <v>60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12000</v>
      </c>
      <c r="H38" s="20"/>
      <c r="I38" s="19"/>
      <c r="J38" s="31"/>
      <c r="K38" s="137">
        <f>SUM(G11:G37)/SUM(E11:E38)</f>
        <v>60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397</v>
      </c>
      <c r="C41" s="58" t="d">
        <v>2025-04-21</v>
      </c>
      <c r="D41" s="16"/>
      <c r="E41" s="155"/>
      <c r="F41" s="21"/>
      <c r="G41" s="36">
        <v>-73</v>
      </c>
      <c r="H41" s="20"/>
      <c r="I41" s="36">
        <f>I13+G41</f>
        <v>11927</v>
      </c>
      <c r="J41" s="31" t="s">
        <v>10</v>
      </c>
      <c r="K41" s="36">
        <f>I41/SUM($E$11:E41)</f>
        <v>59.634999999999998</v>
      </c>
    </row>
    <row r="42" spans="2:11" x14ac:dyDescent="0.2">
      <c r="B42" s="67"/>
      <c r="C42" s="58"/>
      <c r="D42" s="16"/>
      <c r="E42" s="155"/>
      <c r="F42" s="21"/>
      <c r="G42" s="36">
        <v>0</v>
      </c>
      <c r="H42" s="17"/>
      <c r="I42" s="36">
        <f t="shared" ref="I42:I76" si="2">I41+G42</f>
        <v>11927</v>
      </c>
      <c r="J42" s="31"/>
      <c r="K42" s="36">
        <f>I42/SUM($E$11:E42)</f>
        <v>59.634999999999998</v>
      </c>
    </row>
    <row r="43" spans="2:11" x14ac:dyDescent="0.2">
      <c r="B43" s="67"/>
      <c r="C43" s="58"/>
      <c r="D43" s="16"/>
      <c r="E43" s="155"/>
      <c r="G43" s="36">
        <v>0</v>
      </c>
      <c r="H43" s="17"/>
      <c r="I43" s="36">
        <f t="shared" si="2"/>
        <v>11927</v>
      </c>
      <c r="J43" s="31"/>
      <c r="K43" s="36">
        <f>I43/SUM($E$11:E43)</f>
        <v>59.634999999999998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11927</v>
      </c>
      <c r="J44" s="31"/>
      <c r="K44" s="36">
        <f>I44/SUM($E$11:E44)</f>
        <v>59.634999999999998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11927</v>
      </c>
      <c r="J45" s="31"/>
      <c r="K45" s="36">
        <f>I45/SUM($E$11:E45)</f>
        <v>59.634999999999998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11927</v>
      </c>
      <c r="J46" s="31"/>
      <c r="K46" s="36">
        <f>I46/SUM($E$11:E46)</f>
        <v>59.634999999999998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11927</v>
      </c>
      <c r="J47" s="31"/>
      <c r="K47" s="36">
        <f>I47/SUM($E$11:E47)</f>
        <v>59.634999999999998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11927</v>
      </c>
      <c r="J48" s="31"/>
      <c r="K48" s="36">
        <f>I48/SUM($E$11:E48)</f>
        <v>59.634999999999998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11927</v>
      </c>
      <c r="J49" s="31"/>
      <c r="K49" s="36">
        <f>I49/SUM($E$11:E49)</f>
        <v>59.634999999999998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11927</v>
      </c>
      <c r="J50" s="31"/>
      <c r="K50" s="36">
        <f>I50/SUM($E$11:E50)</f>
        <v>59.634999999999998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11927</v>
      </c>
      <c r="J51" s="31"/>
      <c r="K51" s="36">
        <f>I51/SUM($E$11:E51)</f>
        <v>59.634999999999998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11927</v>
      </c>
      <c r="J52" s="31"/>
      <c r="K52" s="36">
        <f>I52/SUM($E$11:E52)</f>
        <v>59.634999999999998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11927</v>
      </c>
      <c r="J53" s="31"/>
      <c r="K53" s="36">
        <f>I53/SUM($E$11:E53)</f>
        <v>59.634999999999998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11927</v>
      </c>
      <c r="J54" s="31"/>
      <c r="K54" s="36">
        <f>I54/SUM($E$11:E54)</f>
        <v>59.634999999999998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11927</v>
      </c>
      <c r="J55" s="31"/>
      <c r="K55" s="36">
        <f>I55/SUM($E$11:E55)</f>
        <v>59.634999999999998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11927</v>
      </c>
      <c r="J56" s="31"/>
      <c r="K56" s="36">
        <f>I56/SUM($E$11:E56)</f>
        <v>59.634999999999998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11927</v>
      </c>
      <c r="J57" s="31"/>
      <c r="K57" s="36">
        <f>I57/SUM($E$11:E57)</f>
        <v>59.634999999999998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11927</v>
      </c>
      <c r="J58" s="31"/>
      <c r="K58" s="36">
        <f>I58/SUM($E$11:E58)</f>
        <v>59.634999999999998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11927</v>
      </c>
      <c r="J59" s="31"/>
      <c r="K59" s="36">
        <f>I59/SUM($E$11:E59)</f>
        <v>59.634999999999998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11927</v>
      </c>
      <c r="J60" s="31"/>
      <c r="K60" s="36">
        <f>I60/SUM($E$11:E60)</f>
        <v>59.634999999999998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11927</v>
      </c>
      <c r="J61" s="31"/>
      <c r="K61" s="36">
        <f>I61/SUM($E$11:E61)</f>
        <v>59.634999999999998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11927</v>
      </c>
      <c r="J62" s="31"/>
      <c r="K62" s="36">
        <f>I62/SUM($E$11:E62)</f>
        <v>59.634999999999998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11927</v>
      </c>
      <c r="J63" s="31"/>
      <c r="K63" s="36">
        <f>I63/SUM($E$11:E63)</f>
        <v>59.634999999999998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11927</v>
      </c>
      <c r="J64" s="31"/>
      <c r="K64" s="36">
        <f>I64/SUM($E$11:E64)</f>
        <v>59.634999999999998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11927</v>
      </c>
      <c r="J65" s="31"/>
      <c r="K65" s="36">
        <f>I65/SUM($E$11:E65)</f>
        <v>59.634999999999998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11927</v>
      </c>
      <c r="J66" s="31"/>
      <c r="K66" s="36">
        <f>I66/SUM($E$11:E66)</f>
        <v>59.634999999999998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11927</v>
      </c>
      <c r="J67" s="31"/>
      <c r="K67" s="36">
        <f>I67/SUM($E$11:E67)</f>
        <v>59.634999999999998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11927</v>
      </c>
      <c r="J68" s="31"/>
      <c r="K68" s="36">
        <f>I68/SUM($E$11:E68)</f>
        <v>59.634999999999998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11927</v>
      </c>
      <c r="J69" s="31"/>
      <c r="K69" s="36">
        <f>I69/SUM($E$11:E69)</f>
        <v>59.634999999999998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11927</v>
      </c>
      <c r="J70" s="31"/>
      <c r="K70" s="36">
        <f>I70/SUM($E$11:E70)</f>
        <v>59.634999999999998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11927</v>
      </c>
      <c r="J71" s="31"/>
      <c r="K71" s="36">
        <f>I71/SUM($E$11:E71)</f>
        <v>59.634999999999998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11927</v>
      </c>
      <c r="J72" s="31"/>
      <c r="K72" s="36">
        <f>I72/SUM($E$11:E72)</f>
        <v>59.634999999999998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11927</v>
      </c>
      <c r="J73" s="31"/>
      <c r="K73" s="36">
        <f>I73/SUM($E$11:E73)</f>
        <v>59.634999999999998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11927</v>
      </c>
      <c r="J74" s="31"/>
      <c r="K74" s="36">
        <f>I74/SUM($E$11:E74)</f>
        <v>59.634999999999998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11927</v>
      </c>
      <c r="J75" s="31"/>
      <c r="K75" s="36">
        <f>I75/SUM($E$11:E75)</f>
        <v>59.634999999999998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11927</v>
      </c>
      <c r="J76" s="31"/>
      <c r="K76" s="36">
        <f>I76/SUM($E$11:E76)</f>
        <v>59.634999999999998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-73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37" priority="8" stopIfTrue="1">
      <formula>J77="assigned"</formula>
    </cfRule>
    <cfRule type="expression" dxfId="36" priority="9">
      <formula>J77="expired"</formula>
    </cfRule>
  </conditionalFormatting>
  <conditionalFormatting sqref="B77:B116">
    <cfRule type="expression" dxfId="35" priority="6">
      <formula>AND(ISNUMBER(SEARCH("call", B77)), J77="expired")</formula>
    </cfRule>
    <cfRule type="expression" dxfId="34" priority="7">
      <formula>AND(ISNUMBER(SEARCH("call", B77)), J77="assigned")</formula>
    </cfRule>
  </conditionalFormatting>
  <conditionalFormatting sqref="B41:B76">
    <cfRule type="expression" dxfId="33" priority="1" stopIfTrue="1">
      <formula>J41="ROLL"</formula>
    </cfRule>
    <cfRule type="expression" dxfId="32" priority="2" stopIfTrue="1">
      <formula>AND(ISNUMBER(SEARCH("call", B41)), J41="expired")</formula>
    </cfRule>
    <cfRule type="expression" dxfId="31" priority="3" stopIfTrue="1">
      <formula>AND(ISNUMBER(SEARCH("call", B41)), J41="assigned")</formula>
    </cfRule>
    <cfRule type="expression" dxfId="30" priority="4" stopIfTrue="1">
      <formula>J41="assigned"</formula>
    </cfRule>
    <cfRule type="expression" dxfId="29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5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41D8-656F-6F4B-AB07-04D64CE195C0}">
  <sheetPr codeName="Sheet66"/>
  <dimension ref="A1:O76"/>
  <sheetViews>
    <sheetView topLeftCell="A8" zoomScale="120" zoomScaleNormal="120" workbookViewId="0">
      <selection activeCell="G29" sqref="G29"/>
    </sheetView>
  </sheetViews>
  <sheetFormatPr baseColWidth="10" defaultColWidth="8.83203125" defaultRowHeight="15" x14ac:dyDescent="0.2"/>
  <cols>
    <col min="1" max="1" width="6" customWidth="1"/>
    <col min="2" max="2" width="39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10.33203125" customWidth="1"/>
    <col min="9" max="9" width="3.5" customWidth="1"/>
    <col min="10" max="10" width="11.83203125" customWidth="1"/>
    <col min="11" max="11" width="19" style="29" customWidth="1"/>
    <col min="12" max="12" width="10" style="2" customWidth="1"/>
    <col min="15" max="15" width="12.6640625" bestFit="1" customWidth="1"/>
  </cols>
  <sheetData>
    <row r="1" spans="1:15" ht="29" customHeight="1" x14ac:dyDescent="0.2">
      <c r="B1" s="197" t="s">
        <v>654</v>
      </c>
      <c r="C1" s="197"/>
    </row>
    <row r="2" spans="1:15" x14ac:dyDescent="0.2">
      <c r="B2" s="1" t="s">
        <v>655</v>
      </c>
      <c r="C2" s="56"/>
      <c r="D2" s="2"/>
      <c r="F2" s="3"/>
      <c r="G2" s="4"/>
      <c r="H2" s="4"/>
    </row>
    <row r="3" spans="1:15" ht="19" x14ac:dyDescent="0.25">
      <c r="B3" s="5"/>
      <c r="C3" s="57"/>
      <c r="D3" s="6"/>
      <c r="E3" s="154"/>
      <c r="F3" s="7" t="s">
        <v>0</v>
      </c>
      <c r="G3" s="8">
        <f>IF(ISERROR(SUM(G38,G74)/G4),SUM(G38,G74),SUM(G38,G74)/G4)</f>
        <v>-9.94</v>
      </c>
      <c r="H3" s="8"/>
      <c r="J3" t="s">
        <v>279</v>
      </c>
      <c r="K3" s="30">
        <v>28.99</v>
      </c>
      <c r="L3" s="6"/>
    </row>
    <row r="4" spans="1:15" x14ac:dyDescent="0.2">
      <c r="B4" s="1"/>
      <c r="C4" s="56"/>
      <c r="D4" s="2"/>
      <c r="F4" s="3" t="s">
        <v>2</v>
      </c>
      <c r="G4" s="9">
        <f>SUM(E11:E37)</f>
        <v>100</v>
      </c>
      <c r="H4" s="9"/>
    </row>
    <row r="5" spans="1:15" x14ac:dyDescent="0.2">
      <c r="C5" s="56"/>
      <c r="D5" s="2"/>
      <c r="F5" s="3"/>
      <c r="G5" s="4"/>
      <c r="H5" s="4"/>
    </row>
    <row r="6" spans="1:15" x14ac:dyDescent="0.2">
      <c r="B6" s="15"/>
      <c r="C6" s="58"/>
      <c r="D6" s="17"/>
      <c r="E6" s="155"/>
      <c r="F6" s="18"/>
      <c r="G6" s="19"/>
      <c r="H6" s="19"/>
      <c r="I6" s="20"/>
      <c r="J6" s="20"/>
      <c r="K6" s="31"/>
      <c r="L6" s="17"/>
    </row>
    <row r="7" spans="1:15" ht="6" customHeight="1" x14ac:dyDescent="0.2">
      <c r="B7" s="15"/>
      <c r="C7" s="58"/>
      <c r="D7" s="17"/>
      <c r="E7" s="155"/>
      <c r="F7" s="18"/>
      <c r="G7" s="19"/>
      <c r="H7" s="19"/>
      <c r="I7" s="20"/>
      <c r="J7" s="20"/>
      <c r="K7" s="31"/>
      <c r="L7" s="17"/>
    </row>
    <row r="8" spans="1:15" s="26" customFormat="1" ht="12" x14ac:dyDescent="0.15">
      <c r="B8" s="198" t="s">
        <v>3</v>
      </c>
      <c r="C8" s="198"/>
      <c r="D8" s="198"/>
      <c r="E8" s="198"/>
      <c r="F8" s="198"/>
      <c r="G8" s="198"/>
      <c r="H8" s="166"/>
      <c r="I8" s="27"/>
      <c r="J8" s="28"/>
      <c r="K8" s="32"/>
      <c r="L8" s="28"/>
    </row>
    <row r="9" spans="1:15" s="153" customFormat="1" ht="32" x14ac:dyDescent="0.2">
      <c r="B9" s="156" t="s">
        <v>11</v>
      </c>
      <c r="C9" s="173" t="s">
        <v>6</v>
      </c>
      <c r="D9" s="156" t="s">
        <v>39</v>
      </c>
      <c r="E9" s="156" t="s">
        <v>2</v>
      </c>
      <c r="F9" s="174" t="s">
        <v>7</v>
      </c>
      <c r="G9" s="175" t="s">
        <v>8</v>
      </c>
      <c r="H9" s="176" t="s">
        <v>583</v>
      </c>
      <c r="I9" s="156"/>
      <c r="J9" s="156" t="s">
        <v>4</v>
      </c>
      <c r="K9" s="177"/>
      <c r="L9" s="156" t="s">
        <v>5</v>
      </c>
    </row>
    <row r="10" spans="1:15" ht="5.5" customHeight="1" x14ac:dyDescent="0.2">
      <c r="B10" s="12"/>
      <c r="C10" s="59"/>
      <c r="D10" s="11"/>
      <c r="E10" s="156"/>
      <c r="F10" s="13"/>
      <c r="G10" s="14"/>
      <c r="H10" s="14"/>
      <c r="I10" s="11"/>
      <c r="J10" s="11"/>
      <c r="K10" s="33"/>
      <c r="L10" s="11"/>
    </row>
    <row r="11" spans="1:15" x14ac:dyDescent="0.2">
      <c r="A11" s="187"/>
      <c r="B11" s="188" t="s">
        <v>658</v>
      </c>
      <c r="C11" s="167" t="d">
        <v>2025-09-20</v>
      </c>
      <c r="D11" s="189"/>
      <c r="E11" s="157">
        <v>100</v>
      </c>
      <c r="F11" s="190">
        <v>35</v>
      </c>
      <c r="G11" s="191">
        <f>E11*F11</f>
        <v>3500</v>
      </c>
      <c r="H11" s="191"/>
      <c r="I11" s="181"/>
      <c r="J11" s="180">
        <f>G11</f>
        <v>3500</v>
      </c>
      <c r="K11" s="182"/>
      <c r="L11" s="180">
        <f>J11/E11</f>
        <v>35</v>
      </c>
    </row>
    <row r="12" spans="1:15" x14ac:dyDescent="0.2">
      <c r="A12" s="187"/>
      <c r="B12" s="188" t="s">
        <v>678</v>
      </c>
      <c r="C12" s="167" t="d">
        <v>2025-10-17</v>
      </c>
      <c r="D12" s="189"/>
      <c r="E12" s="157">
        <v>-100</v>
      </c>
      <c r="F12" s="190">
        <v>35</v>
      </c>
      <c r="G12" s="191">
        <f>E12*F12</f>
        <v>-3500</v>
      </c>
      <c r="H12" s="191"/>
      <c r="I12" s="181"/>
      <c r="J12" s="180">
        <f>J11+G12</f>
        <v>0</v>
      </c>
      <c r="K12" s="182"/>
      <c r="L12" s="180" t="e">
        <f>J12/SUM($E$11:E12)</f>
        <v>#DIV/0!</v>
      </c>
      <c r="O12" s="144" t="s">
        <v>268</v>
      </c>
    </row>
    <row r="13" spans="1:15" x14ac:dyDescent="0.2">
      <c r="A13" s="187"/>
      <c r="B13" s="188"/>
      <c r="C13" s="167"/>
      <c r="D13" s="189"/>
      <c r="E13" s="157">
        <v>100</v>
      </c>
      <c r="F13" s="190"/>
      <c r="G13" s="191">
        <f t="shared" ref="G13:G37" si="0">E13*F13</f>
        <v>0</v>
      </c>
      <c r="H13" s="191"/>
      <c r="I13" s="181"/>
      <c r="J13" s="180">
        <f>J12+G13</f>
        <v>0</v>
      </c>
      <c r="K13" s="182"/>
      <c r="L13" s="180">
        <f>J13/SUM($E$11:E13)</f>
        <v>0</v>
      </c>
      <c r="O13" s="143" t="s">
        <v>269</v>
      </c>
    </row>
    <row r="14" spans="1:15" x14ac:dyDescent="0.2">
      <c r="A14" s="187"/>
      <c r="B14" s="188"/>
      <c r="C14" s="167"/>
      <c r="D14" s="189"/>
      <c r="E14" s="157"/>
      <c r="F14" s="190"/>
      <c r="G14" s="191">
        <f t="shared" si="0"/>
        <v>0</v>
      </c>
      <c r="H14" s="191"/>
      <c r="I14" s="181"/>
      <c r="J14" s="180">
        <f t="shared" ref="J14:J37" si="1">J13+G14</f>
        <v>0</v>
      </c>
      <c r="K14" s="182"/>
      <c r="L14" s="180">
        <f>J14/SUM($E$11:E14)</f>
        <v>0</v>
      </c>
      <c r="O14" s="145" t="s">
        <v>270</v>
      </c>
    </row>
    <row r="15" spans="1:15" x14ac:dyDescent="0.2">
      <c r="A15" s="187"/>
      <c r="B15" s="188"/>
      <c r="C15" s="167"/>
      <c r="D15" s="189"/>
      <c r="E15" s="157"/>
      <c r="F15" s="190"/>
      <c r="G15" s="191">
        <f t="shared" si="0"/>
        <v>0</v>
      </c>
      <c r="H15" s="191"/>
      <c r="I15" s="181"/>
      <c r="J15" s="180">
        <f t="shared" si="1"/>
        <v>0</v>
      </c>
      <c r="K15" s="182"/>
      <c r="L15" s="180">
        <f>J15/SUM($E$11:E15)</f>
        <v>0</v>
      </c>
      <c r="O15" s="146" t="s">
        <v>271</v>
      </c>
    </row>
    <row r="16" spans="1:15" x14ac:dyDescent="0.2">
      <c r="A16" s="187"/>
      <c r="B16" s="188"/>
      <c r="C16" s="167"/>
      <c r="D16" s="189"/>
      <c r="E16" s="157"/>
      <c r="F16" s="190"/>
      <c r="G16" s="191">
        <f t="shared" si="0"/>
        <v>0</v>
      </c>
      <c r="H16" s="191"/>
      <c r="I16" s="181"/>
      <c r="J16" s="180">
        <f t="shared" si="1"/>
        <v>0</v>
      </c>
      <c r="K16" s="182"/>
      <c r="L16" s="180">
        <f>J16/SUM($E$11:E16)</f>
        <v>0</v>
      </c>
      <c r="O16" s="147" t="s">
        <v>266</v>
      </c>
    </row>
    <row r="17" spans="1:15" x14ac:dyDescent="0.2">
      <c r="A17" s="187"/>
      <c r="B17" s="188"/>
      <c r="C17" s="167"/>
      <c r="D17" s="189"/>
      <c r="E17" s="157"/>
      <c r="F17" s="190"/>
      <c r="G17" s="191">
        <f t="shared" si="0"/>
        <v>0</v>
      </c>
      <c r="H17" s="191"/>
      <c r="I17" s="181"/>
      <c r="J17" s="180">
        <f t="shared" si="1"/>
        <v>0</v>
      </c>
      <c r="K17" s="182"/>
      <c r="L17" s="180">
        <f>J17/SUM($E$11:E17)</f>
        <v>0</v>
      </c>
      <c r="O17" s="164" t="s">
        <v>493</v>
      </c>
    </row>
    <row r="18" spans="1:15" x14ac:dyDescent="0.2">
      <c r="A18" s="187"/>
      <c r="B18" s="188"/>
      <c r="C18" s="167"/>
      <c r="D18" s="189"/>
      <c r="E18" s="157"/>
      <c r="F18" s="190"/>
      <c r="G18" s="191">
        <f t="shared" si="0"/>
        <v>0</v>
      </c>
      <c r="H18" s="191"/>
      <c r="I18" s="181"/>
      <c r="J18" s="180">
        <f t="shared" si="1"/>
        <v>0</v>
      </c>
      <c r="K18" s="182"/>
      <c r="L18" s="180">
        <f>J18/SUM($E$11:E18)</f>
        <v>0</v>
      </c>
      <c r="O18" s="172" t="s">
        <v>546</v>
      </c>
    </row>
    <row r="19" spans="1:15" x14ac:dyDescent="0.2">
      <c r="A19" s="187"/>
      <c r="B19" s="188"/>
      <c r="C19" s="167"/>
      <c r="D19" s="189"/>
      <c r="E19" s="157"/>
      <c r="F19" s="190"/>
      <c r="G19" s="191">
        <f t="shared" si="0"/>
        <v>0</v>
      </c>
      <c r="H19" s="191"/>
      <c r="I19" s="181"/>
      <c r="J19" s="180">
        <f t="shared" si="1"/>
        <v>0</v>
      </c>
      <c r="K19" s="182"/>
      <c r="L19" s="180">
        <f>J19/SUM($E$11:E19)</f>
        <v>0</v>
      </c>
    </row>
    <row r="20" spans="1:15" x14ac:dyDescent="0.2">
      <c r="A20" s="187"/>
      <c r="B20" s="188"/>
      <c r="C20" s="167"/>
      <c r="D20" s="189"/>
      <c r="E20" s="157"/>
      <c r="F20" s="190"/>
      <c r="G20" s="191">
        <f t="shared" si="0"/>
        <v>0</v>
      </c>
      <c r="H20" s="191"/>
      <c r="I20" s="181"/>
      <c r="J20" s="180">
        <f t="shared" si="1"/>
        <v>0</v>
      </c>
      <c r="K20" s="182"/>
      <c r="L20" s="180">
        <f>J20/SUM($E$11:E20)</f>
        <v>0</v>
      </c>
    </row>
    <row r="21" spans="1:15" x14ac:dyDescent="0.2">
      <c r="A21" s="187"/>
      <c r="B21" s="188"/>
      <c r="C21" s="167"/>
      <c r="D21" s="189"/>
      <c r="E21" s="157"/>
      <c r="F21" s="190"/>
      <c r="G21" s="191">
        <f t="shared" si="0"/>
        <v>0</v>
      </c>
      <c r="H21" s="191"/>
      <c r="I21" s="181"/>
      <c r="J21" s="180">
        <f t="shared" si="1"/>
        <v>0</v>
      </c>
      <c r="K21" s="182"/>
      <c r="L21" s="180">
        <f>J21/SUM($E$11:E21)</f>
        <v>0</v>
      </c>
    </row>
    <row r="22" spans="1:15" x14ac:dyDescent="0.2">
      <c r="A22" s="187"/>
      <c r="B22" s="188"/>
      <c r="C22" s="167"/>
      <c r="D22" s="189"/>
      <c r="E22" s="157"/>
      <c r="F22" s="190"/>
      <c r="G22" s="191">
        <f t="shared" si="0"/>
        <v>0</v>
      </c>
      <c r="H22" s="191"/>
      <c r="I22" s="181"/>
      <c r="J22" s="180">
        <f t="shared" si="1"/>
        <v>0</v>
      </c>
      <c r="K22" s="182"/>
      <c r="L22" s="180">
        <f>J22/SUM($E$11:E22)</f>
        <v>0</v>
      </c>
    </row>
    <row r="23" spans="1:15" x14ac:dyDescent="0.2">
      <c r="A23" s="187"/>
      <c r="B23" s="188"/>
      <c r="C23" s="167"/>
      <c r="D23" s="189"/>
      <c r="E23" s="157"/>
      <c r="F23" s="190"/>
      <c r="G23" s="191">
        <f t="shared" si="0"/>
        <v>0</v>
      </c>
      <c r="H23" s="191"/>
      <c r="I23" s="181"/>
      <c r="J23" s="180">
        <f t="shared" si="1"/>
        <v>0</v>
      </c>
      <c r="K23" s="182"/>
      <c r="L23" s="180">
        <f>J23/SUM($E$11:E23)</f>
        <v>0</v>
      </c>
    </row>
    <row r="24" spans="1:15" x14ac:dyDescent="0.2">
      <c r="A24" s="187"/>
      <c r="B24" s="188"/>
      <c r="C24" s="167"/>
      <c r="D24" s="189"/>
      <c r="E24" s="157"/>
      <c r="F24" s="190"/>
      <c r="G24" s="191">
        <f t="shared" si="0"/>
        <v>0</v>
      </c>
      <c r="H24" s="191"/>
      <c r="I24" s="181"/>
      <c r="J24" s="180">
        <f t="shared" si="1"/>
        <v>0</v>
      </c>
      <c r="K24" s="182"/>
      <c r="L24" s="180">
        <f>J24/SUM($E$11:E24)</f>
        <v>0</v>
      </c>
    </row>
    <row r="25" spans="1:15" x14ac:dyDescent="0.2">
      <c r="A25" s="187"/>
      <c r="B25" s="188"/>
      <c r="C25" s="167"/>
      <c r="D25" s="189"/>
      <c r="E25" s="157"/>
      <c r="F25" s="190"/>
      <c r="G25" s="191">
        <f t="shared" si="0"/>
        <v>0</v>
      </c>
      <c r="H25" s="191"/>
      <c r="I25" s="181"/>
      <c r="J25" s="180">
        <f t="shared" si="1"/>
        <v>0</v>
      </c>
      <c r="K25" s="182"/>
      <c r="L25" s="180">
        <f>J25/SUM($E$11:E25)</f>
        <v>0</v>
      </c>
    </row>
    <row r="26" spans="1:15" x14ac:dyDescent="0.2">
      <c r="A26" s="187"/>
      <c r="B26" s="188"/>
      <c r="C26" s="167"/>
      <c r="D26" s="189"/>
      <c r="E26" s="157"/>
      <c r="F26" s="190"/>
      <c r="G26" s="191">
        <f t="shared" si="0"/>
        <v>0</v>
      </c>
      <c r="H26" s="191"/>
      <c r="I26" s="181"/>
      <c r="J26" s="180">
        <f t="shared" si="1"/>
        <v>0</v>
      </c>
      <c r="K26" s="182"/>
      <c r="L26" s="180">
        <f>J26/SUM($E$11:E26)</f>
        <v>0</v>
      </c>
    </row>
    <row r="27" spans="1:15" x14ac:dyDescent="0.2">
      <c r="A27" s="187"/>
      <c r="B27" s="188"/>
      <c r="C27" s="167"/>
      <c r="D27" s="189"/>
      <c r="E27" s="157"/>
      <c r="F27" s="190"/>
      <c r="G27" s="191">
        <f t="shared" si="0"/>
        <v>0</v>
      </c>
      <c r="H27" s="191"/>
      <c r="I27" s="181"/>
      <c r="J27" s="180">
        <f t="shared" si="1"/>
        <v>0</v>
      </c>
      <c r="K27" s="182"/>
      <c r="L27" s="180">
        <f>J27/SUM($E$11:E27)</f>
        <v>0</v>
      </c>
    </row>
    <row r="28" spans="1:15" x14ac:dyDescent="0.2">
      <c r="A28" s="187"/>
      <c r="B28" s="188"/>
      <c r="C28" s="167"/>
      <c r="D28" s="189"/>
      <c r="E28" s="157"/>
      <c r="F28" s="190"/>
      <c r="G28" s="191">
        <f t="shared" si="0"/>
        <v>0</v>
      </c>
      <c r="H28" s="191"/>
      <c r="I28" s="181"/>
      <c r="J28" s="180">
        <f t="shared" si="1"/>
        <v>0</v>
      </c>
      <c r="K28" s="182"/>
      <c r="L28" s="180">
        <f>J28/SUM($E$11:E28)</f>
        <v>0</v>
      </c>
    </row>
    <row r="29" spans="1:15" x14ac:dyDescent="0.2">
      <c r="A29" s="187"/>
      <c r="B29" s="188"/>
      <c r="C29" s="167"/>
      <c r="D29" s="189"/>
      <c r="E29" s="157"/>
      <c r="F29" s="190"/>
      <c r="G29" s="191">
        <f t="shared" si="0"/>
        <v>0</v>
      </c>
      <c r="H29" s="191"/>
      <c r="I29" s="181"/>
      <c r="J29" s="180">
        <f t="shared" si="1"/>
        <v>0</v>
      </c>
      <c r="K29" s="182"/>
      <c r="L29" s="180">
        <f>J29/SUM($E$11:E29)</f>
        <v>0</v>
      </c>
    </row>
    <row r="30" spans="1:15" x14ac:dyDescent="0.2">
      <c r="A30" s="187"/>
      <c r="B30" s="188"/>
      <c r="C30" s="167"/>
      <c r="D30" s="189"/>
      <c r="E30" s="157"/>
      <c r="F30" s="190"/>
      <c r="G30" s="191">
        <f t="shared" si="0"/>
        <v>0</v>
      </c>
      <c r="H30" s="191"/>
      <c r="I30" s="181"/>
      <c r="J30" s="180">
        <f t="shared" si="1"/>
        <v>0</v>
      </c>
      <c r="K30" s="182"/>
      <c r="L30" s="180">
        <f>J30/SUM($E$11:E30)</f>
        <v>0</v>
      </c>
    </row>
    <row r="31" spans="1:15" x14ac:dyDescent="0.2">
      <c r="A31" s="187"/>
      <c r="B31" s="188"/>
      <c r="C31" s="167"/>
      <c r="D31" s="189"/>
      <c r="E31" s="157"/>
      <c r="F31" s="190"/>
      <c r="G31" s="191">
        <f t="shared" si="0"/>
        <v>0</v>
      </c>
      <c r="H31" s="191"/>
      <c r="I31" s="181"/>
      <c r="J31" s="180">
        <f t="shared" si="1"/>
        <v>0</v>
      </c>
      <c r="K31" s="182"/>
      <c r="L31" s="180">
        <f>J31/SUM($E$11:E31)</f>
        <v>0</v>
      </c>
    </row>
    <row r="32" spans="1:15" x14ac:dyDescent="0.2">
      <c r="A32" s="187"/>
      <c r="B32" s="188"/>
      <c r="C32" s="167"/>
      <c r="D32" s="189"/>
      <c r="E32" s="157"/>
      <c r="F32" s="190"/>
      <c r="G32" s="191">
        <f t="shared" si="0"/>
        <v>0</v>
      </c>
      <c r="H32" s="191"/>
      <c r="I32" s="181"/>
      <c r="J32" s="180">
        <f t="shared" si="1"/>
        <v>0</v>
      </c>
      <c r="K32" s="182"/>
      <c r="L32" s="180">
        <f>J32/SUM($E$11:E32)</f>
        <v>0</v>
      </c>
    </row>
    <row r="33" spans="1:12" x14ac:dyDescent="0.2">
      <c r="A33" s="187"/>
      <c r="B33" s="188"/>
      <c r="C33" s="167"/>
      <c r="D33" s="189"/>
      <c r="E33" s="157"/>
      <c r="F33" s="190"/>
      <c r="G33" s="191">
        <f t="shared" si="0"/>
        <v>0</v>
      </c>
      <c r="H33" s="191"/>
      <c r="I33" s="181"/>
      <c r="J33" s="180">
        <f t="shared" si="1"/>
        <v>0</v>
      </c>
      <c r="K33" s="182"/>
      <c r="L33" s="180">
        <f>J33/SUM($E$11:E33)</f>
        <v>0</v>
      </c>
    </row>
    <row r="34" spans="1:12" x14ac:dyDescent="0.2">
      <c r="A34" s="187"/>
      <c r="B34" s="188"/>
      <c r="C34" s="167"/>
      <c r="D34" s="189"/>
      <c r="E34" s="157"/>
      <c r="F34" s="190"/>
      <c r="G34" s="191">
        <f t="shared" si="0"/>
        <v>0</v>
      </c>
      <c r="H34" s="191"/>
      <c r="I34" s="181"/>
      <c r="J34" s="180">
        <f t="shared" si="1"/>
        <v>0</v>
      </c>
      <c r="K34" s="182"/>
      <c r="L34" s="180">
        <f>J34/SUM($E$11:E34)</f>
        <v>0</v>
      </c>
    </row>
    <row r="35" spans="1:12" x14ac:dyDescent="0.2">
      <c r="A35" s="187"/>
      <c r="B35" s="188"/>
      <c r="C35" s="167"/>
      <c r="D35" s="189"/>
      <c r="E35" s="157"/>
      <c r="F35" s="190"/>
      <c r="G35" s="191">
        <f t="shared" si="0"/>
        <v>0</v>
      </c>
      <c r="H35" s="191"/>
      <c r="I35" s="181"/>
      <c r="J35" s="180">
        <f t="shared" si="1"/>
        <v>0</v>
      </c>
      <c r="K35" s="182"/>
      <c r="L35" s="180">
        <f>J35/SUM($E$11:E35)</f>
        <v>0</v>
      </c>
    </row>
    <row r="36" spans="1:12" x14ac:dyDescent="0.2">
      <c r="A36" s="187"/>
      <c r="B36" s="188"/>
      <c r="C36" s="167"/>
      <c r="D36" s="189"/>
      <c r="E36" s="157"/>
      <c r="F36" s="190"/>
      <c r="G36" s="191">
        <f t="shared" si="0"/>
        <v>0</v>
      </c>
      <c r="H36" s="191"/>
      <c r="I36" s="181"/>
      <c r="J36" s="180">
        <f>J19+G36</f>
        <v>0</v>
      </c>
      <c r="K36" s="182"/>
      <c r="L36" s="180">
        <f>J36/SUM($E$11:E36)</f>
        <v>0</v>
      </c>
    </row>
    <row r="37" spans="1:12" x14ac:dyDescent="0.2">
      <c r="A37" s="187"/>
      <c r="B37" s="188"/>
      <c r="C37" s="167"/>
      <c r="D37" s="189"/>
      <c r="E37" s="157"/>
      <c r="F37" s="190"/>
      <c r="G37" s="191">
        <f t="shared" si="0"/>
        <v>0</v>
      </c>
      <c r="H37" s="191"/>
      <c r="I37" s="181"/>
      <c r="J37" s="180">
        <f t="shared" si="1"/>
        <v>0</v>
      </c>
      <c r="K37" s="182"/>
      <c r="L37" s="180">
        <f>J37/SUM($E$11:E37)</f>
        <v>0</v>
      </c>
    </row>
    <row r="38" spans="1:12" ht="19" x14ac:dyDescent="0.25">
      <c r="B38" s="15"/>
      <c r="C38" s="58"/>
      <c r="D38" s="16"/>
      <c r="E38" s="155"/>
      <c r="F38" s="18"/>
      <c r="G38" s="165">
        <f>SUM(G11:G37)</f>
        <v>0</v>
      </c>
      <c r="H38" s="178"/>
      <c r="I38" s="20"/>
      <c r="J38" s="19"/>
      <c r="K38" s="31"/>
      <c r="L38" s="165">
        <f>SUM(G11:G37)/SUM(E11:E38)</f>
        <v>0</v>
      </c>
    </row>
    <row r="39" spans="1:12" ht="6" customHeight="1" x14ac:dyDescent="0.2">
      <c r="B39" s="15"/>
      <c r="C39" s="58"/>
      <c r="D39" s="17"/>
      <c r="E39" s="155"/>
      <c r="F39" s="18"/>
      <c r="G39" s="19"/>
      <c r="H39" s="19"/>
      <c r="I39" s="20"/>
      <c r="J39" s="20"/>
      <c r="K39" s="31"/>
      <c r="L39" s="17"/>
    </row>
    <row r="40" spans="1:12" ht="6.5" customHeight="1" x14ac:dyDescent="0.2">
      <c r="B40" s="15"/>
      <c r="C40" s="58"/>
      <c r="D40" s="17"/>
      <c r="E40" s="155"/>
      <c r="F40" s="18"/>
      <c r="G40" s="19"/>
      <c r="H40" s="19"/>
      <c r="I40" s="20"/>
      <c r="J40" s="20"/>
      <c r="K40" s="31"/>
      <c r="L40" s="17"/>
    </row>
    <row r="41" spans="1:12" ht="20" customHeight="1" x14ac:dyDescent="0.2">
      <c r="B41" s="170" t="s">
        <v>656</v>
      </c>
      <c r="C41" s="167" t="d">
        <v>2025-05-13</v>
      </c>
      <c r="D41" s="189"/>
      <c r="E41" s="155"/>
      <c r="F41" s="190"/>
      <c r="G41" s="180">
        <v>-90</v>
      </c>
      <c r="H41" s="192"/>
      <c r="I41" s="181"/>
      <c r="J41" s="180">
        <f>J13+G41</f>
        <v>-90</v>
      </c>
      <c r="K41" s="182" t="s">
        <v>10</v>
      </c>
      <c r="L41" s="180">
        <f>J41/SUM($E$11:E41)</f>
        <v>-0.9</v>
      </c>
    </row>
    <row r="42" spans="1:12" ht="16" x14ac:dyDescent="0.2">
      <c r="B42" s="170" t="s">
        <v>657</v>
      </c>
      <c r="C42" s="167" t="d">
        <v>2025-08-27</v>
      </c>
      <c r="D42" s="189"/>
      <c r="E42" s="155"/>
      <c r="F42" s="190"/>
      <c r="G42" s="180">
        <v>-45</v>
      </c>
      <c r="H42" s="192"/>
      <c r="I42" s="155"/>
      <c r="J42" s="180">
        <f t="shared" ref="J42:J73" si="2">J41+G42</f>
        <v>-135</v>
      </c>
      <c r="K42" s="182" t="s">
        <v>122</v>
      </c>
      <c r="L42" s="180">
        <f>J42/SUM($E$11:E42)</f>
        <v>-1.35</v>
      </c>
    </row>
    <row r="43" spans="1:12" ht="16" x14ac:dyDescent="0.2">
      <c r="B43" s="170" t="s">
        <v>677</v>
      </c>
      <c r="C43" s="167" t="d">
        <v>2025-09-23</v>
      </c>
      <c r="D43" s="189"/>
      <c r="E43" s="155"/>
      <c r="F43" s="187"/>
      <c r="G43" s="180">
        <f>-111*5</f>
        <v>-555</v>
      </c>
      <c r="H43" s="192"/>
      <c r="I43" s="155"/>
      <c r="J43" s="180">
        <f t="shared" si="2"/>
        <v>-690</v>
      </c>
      <c r="K43" s="182" t="s">
        <v>10</v>
      </c>
      <c r="L43" s="180">
        <f>J43/SUM($E$11:E43)</f>
        <v>-6.9</v>
      </c>
    </row>
    <row r="44" spans="1:12" ht="16" x14ac:dyDescent="0.2">
      <c r="B44" s="170" t="s">
        <v>659</v>
      </c>
      <c r="C44" s="167" t="d">
        <v>2025-10-08</v>
      </c>
      <c r="D44" s="189"/>
      <c r="E44" s="155"/>
      <c r="F44" s="184"/>
      <c r="G44" s="180">
        <v>-113</v>
      </c>
      <c r="H44" s="192"/>
      <c r="I44" s="155"/>
      <c r="J44" s="180">
        <f t="shared" si="2"/>
        <v>-803</v>
      </c>
      <c r="K44" s="182" t="s">
        <v>122</v>
      </c>
      <c r="L44" s="180">
        <f>J44/SUM($E$11:E44)</f>
        <v>-8.0299999999999994</v>
      </c>
    </row>
    <row r="45" spans="1:12" ht="16" x14ac:dyDescent="0.2">
      <c r="B45" s="170" t="s">
        <v>679</v>
      </c>
      <c r="C45" s="167" t="d">
        <v>2025-10-17</v>
      </c>
      <c r="D45" s="189"/>
      <c r="E45" s="155"/>
      <c r="F45" s="184"/>
      <c r="G45" s="180">
        <v>-101</v>
      </c>
      <c r="H45" s="192"/>
      <c r="I45" s="155"/>
      <c r="J45" s="180">
        <f t="shared" si="2"/>
        <v>-904</v>
      </c>
      <c r="K45" s="182"/>
      <c r="L45" s="180">
        <f>J45/SUM($E$11:E45)</f>
        <v>-9.0399999999999991</v>
      </c>
    </row>
    <row r="46" spans="1:12" ht="16" x14ac:dyDescent="0.2">
      <c r="B46" s="170" t="s">
        <v>688</v>
      </c>
      <c r="C46" s="167" t="d">
        <v>2025-10-21</v>
      </c>
      <c r="D46" s="189"/>
      <c r="E46" s="155"/>
      <c r="F46" s="184"/>
      <c r="G46" s="180">
        <v>-90</v>
      </c>
      <c r="H46" s="192"/>
      <c r="I46" s="181"/>
      <c r="J46" s="180">
        <f t="shared" si="2"/>
        <v>-994</v>
      </c>
      <c r="K46" s="182"/>
      <c r="L46" s="180">
        <f>J46/SUM($E$11:E46)</f>
        <v>-9.94</v>
      </c>
    </row>
    <row r="47" spans="1:12" ht="17" customHeight="1" x14ac:dyDescent="0.2">
      <c r="B47" s="170"/>
      <c r="C47" s="167"/>
      <c r="D47" s="189"/>
      <c r="E47" s="155"/>
      <c r="F47" s="184"/>
      <c r="G47" s="180">
        <v>0</v>
      </c>
      <c r="H47" s="192"/>
      <c r="I47" s="181"/>
      <c r="J47" s="180">
        <f t="shared" si="2"/>
        <v>-994</v>
      </c>
      <c r="K47" s="182"/>
      <c r="L47" s="180">
        <f>J47/SUM($E$11:E47)</f>
        <v>-9.94</v>
      </c>
    </row>
    <row r="48" spans="1:12" x14ac:dyDescent="0.2">
      <c r="B48" s="170"/>
      <c r="C48" s="167"/>
      <c r="D48" s="189"/>
      <c r="E48" s="155"/>
      <c r="F48" s="184"/>
      <c r="G48" s="180">
        <v>0</v>
      </c>
      <c r="H48" s="192"/>
      <c r="I48" s="181"/>
      <c r="J48" s="180">
        <f t="shared" si="2"/>
        <v>-994</v>
      </c>
      <c r="K48" s="182"/>
      <c r="L48" s="180">
        <f>J48/SUM($E$11:E48)</f>
        <v>-9.94</v>
      </c>
    </row>
    <row r="49" spans="2:12" x14ac:dyDescent="0.2">
      <c r="B49" s="170"/>
      <c r="C49" s="167"/>
      <c r="D49" s="189"/>
      <c r="E49" s="155"/>
      <c r="F49" s="184"/>
      <c r="G49" s="180">
        <v>0</v>
      </c>
      <c r="H49" s="192"/>
      <c r="I49" s="181"/>
      <c r="J49" s="180">
        <f t="shared" si="2"/>
        <v>-994</v>
      </c>
      <c r="K49" s="182"/>
      <c r="L49" s="180">
        <f>J49/SUM($E$11:E49)</f>
        <v>-9.94</v>
      </c>
    </row>
    <row r="50" spans="2:12" x14ac:dyDescent="0.2">
      <c r="B50" s="170"/>
      <c r="C50" s="167"/>
      <c r="D50" s="189"/>
      <c r="E50" s="155"/>
      <c r="F50" s="184"/>
      <c r="G50" s="180">
        <v>0</v>
      </c>
      <c r="H50" s="192"/>
      <c r="I50" s="181"/>
      <c r="J50" s="180">
        <f t="shared" si="2"/>
        <v>-994</v>
      </c>
      <c r="K50" s="182"/>
      <c r="L50" s="180">
        <f>J50/SUM($E$11:E50)</f>
        <v>-9.94</v>
      </c>
    </row>
    <row r="51" spans="2:12" x14ac:dyDescent="0.2">
      <c r="B51" s="170"/>
      <c r="C51" s="167"/>
      <c r="D51" s="189"/>
      <c r="E51" s="155"/>
      <c r="F51" s="184"/>
      <c r="G51" s="180">
        <v>0</v>
      </c>
      <c r="H51" s="192"/>
      <c r="I51" s="181"/>
      <c r="J51" s="180">
        <f t="shared" si="2"/>
        <v>-994</v>
      </c>
      <c r="K51" s="182"/>
      <c r="L51" s="180">
        <f>J51/SUM($E$11:E51)</f>
        <v>-9.94</v>
      </c>
    </row>
    <row r="52" spans="2:12" x14ac:dyDescent="0.2">
      <c r="B52" s="170"/>
      <c r="C52" s="167"/>
      <c r="D52" s="189"/>
      <c r="E52" s="155"/>
      <c r="F52" s="184"/>
      <c r="G52" s="180">
        <v>0</v>
      </c>
      <c r="H52" s="192"/>
      <c r="I52" s="181"/>
      <c r="J52" s="180">
        <f t="shared" si="2"/>
        <v>-994</v>
      </c>
      <c r="K52" s="182"/>
      <c r="L52" s="180">
        <f>J52/SUM($E$11:E52)</f>
        <v>-9.94</v>
      </c>
    </row>
    <row r="53" spans="2:12" ht="16" customHeight="1" x14ac:dyDescent="0.2">
      <c r="B53" s="170"/>
      <c r="C53" s="167"/>
      <c r="D53" s="189"/>
      <c r="E53" s="155"/>
      <c r="F53" s="184"/>
      <c r="G53" s="180">
        <v>0</v>
      </c>
      <c r="H53" s="192"/>
      <c r="I53" s="181"/>
      <c r="J53" s="180">
        <f t="shared" si="2"/>
        <v>-994</v>
      </c>
      <c r="K53" s="182"/>
      <c r="L53" s="180">
        <f>J53/SUM($E$11:E53)</f>
        <v>-9.94</v>
      </c>
    </row>
    <row r="54" spans="2:12" ht="18" customHeight="1" x14ac:dyDescent="0.2">
      <c r="B54" s="170"/>
      <c r="C54" s="167"/>
      <c r="D54" s="189"/>
      <c r="E54" s="155"/>
      <c r="F54" s="184"/>
      <c r="G54" s="180">
        <v>0</v>
      </c>
      <c r="H54" s="192"/>
      <c r="I54" s="181"/>
      <c r="J54" s="180">
        <f t="shared" si="2"/>
        <v>-994</v>
      </c>
      <c r="K54" s="182"/>
      <c r="L54" s="180">
        <f>J54/SUM($E$11:E54)</f>
        <v>-9.94</v>
      </c>
    </row>
    <row r="55" spans="2:12" x14ac:dyDescent="0.2">
      <c r="B55" s="170"/>
      <c r="C55" s="167"/>
      <c r="D55" s="189"/>
      <c r="E55" s="155"/>
      <c r="F55" s="184"/>
      <c r="G55" s="180">
        <v>0</v>
      </c>
      <c r="H55" s="192"/>
      <c r="I55" s="181"/>
      <c r="J55" s="180">
        <f t="shared" si="2"/>
        <v>-994</v>
      </c>
      <c r="K55" s="182"/>
      <c r="L55" s="180">
        <f>J55/SUM($E$11:E55)</f>
        <v>-9.94</v>
      </c>
    </row>
    <row r="56" spans="2:12" x14ac:dyDescent="0.2">
      <c r="B56" s="170"/>
      <c r="C56" s="167"/>
      <c r="D56" s="189"/>
      <c r="E56" s="155"/>
      <c r="F56" s="184"/>
      <c r="G56" s="180">
        <v>0</v>
      </c>
      <c r="H56" s="192"/>
      <c r="I56" s="181"/>
      <c r="J56" s="180">
        <f t="shared" si="2"/>
        <v>-994</v>
      </c>
      <c r="K56" s="182"/>
      <c r="L56" s="180">
        <f>J56/SUM($E$11:E56)</f>
        <v>-9.94</v>
      </c>
    </row>
    <row r="57" spans="2:12" x14ac:dyDescent="0.2">
      <c r="B57" s="170"/>
      <c r="C57" s="167"/>
      <c r="D57" s="189"/>
      <c r="E57" s="155"/>
      <c r="F57" s="184"/>
      <c r="G57" s="180">
        <v>0</v>
      </c>
      <c r="H57" s="192"/>
      <c r="I57" s="181"/>
      <c r="J57" s="180">
        <f t="shared" si="2"/>
        <v>-994</v>
      </c>
      <c r="K57" s="182"/>
      <c r="L57" s="180">
        <f>J57/SUM($E$11:E57)</f>
        <v>-9.94</v>
      </c>
    </row>
    <row r="58" spans="2:12" x14ac:dyDescent="0.2">
      <c r="B58" s="170"/>
      <c r="C58" s="167"/>
      <c r="D58" s="189"/>
      <c r="E58" s="155"/>
      <c r="F58" s="184"/>
      <c r="G58" s="180">
        <v>0</v>
      </c>
      <c r="H58" s="192"/>
      <c r="I58" s="181"/>
      <c r="J58" s="180">
        <f t="shared" si="2"/>
        <v>-994</v>
      </c>
      <c r="K58" s="182"/>
      <c r="L58" s="180">
        <f>J58/SUM($E$11:E58)</f>
        <v>-9.94</v>
      </c>
    </row>
    <row r="59" spans="2:12" x14ac:dyDescent="0.2">
      <c r="B59" s="170"/>
      <c r="C59" s="167"/>
      <c r="D59" s="189"/>
      <c r="E59" s="155"/>
      <c r="F59" s="184"/>
      <c r="G59" s="180">
        <v>0</v>
      </c>
      <c r="H59" s="192"/>
      <c r="I59" s="181"/>
      <c r="J59" s="180">
        <f t="shared" si="2"/>
        <v>-994</v>
      </c>
      <c r="K59" s="182"/>
      <c r="L59" s="180">
        <f>J59/SUM($E$11:E59)</f>
        <v>-9.94</v>
      </c>
    </row>
    <row r="60" spans="2:12" x14ac:dyDescent="0.2">
      <c r="B60" s="170"/>
      <c r="C60" s="167"/>
      <c r="D60" s="189"/>
      <c r="E60" s="155"/>
      <c r="F60" s="184"/>
      <c r="G60" s="180">
        <v>0</v>
      </c>
      <c r="H60" s="192"/>
      <c r="I60" s="181"/>
      <c r="J60" s="180">
        <f t="shared" si="2"/>
        <v>-994</v>
      </c>
      <c r="K60" s="182"/>
      <c r="L60" s="180">
        <f>J60/SUM($E$11:E60)</f>
        <v>-9.94</v>
      </c>
    </row>
    <row r="61" spans="2:12" x14ac:dyDescent="0.2">
      <c r="B61" s="170"/>
      <c r="C61" s="167"/>
      <c r="D61" s="189"/>
      <c r="E61" s="155"/>
      <c r="F61" s="184"/>
      <c r="G61" s="180">
        <v>0</v>
      </c>
      <c r="H61" s="192"/>
      <c r="I61" s="181"/>
      <c r="J61" s="180">
        <f t="shared" si="2"/>
        <v>-994</v>
      </c>
      <c r="K61" s="182"/>
      <c r="L61" s="180">
        <f>J61/SUM($E$11:E61)</f>
        <v>-9.94</v>
      </c>
    </row>
    <row r="62" spans="2:12" x14ac:dyDescent="0.2">
      <c r="B62" s="170"/>
      <c r="C62" s="167"/>
      <c r="D62" s="189"/>
      <c r="E62" s="155"/>
      <c r="F62" s="184"/>
      <c r="G62" s="180">
        <v>0</v>
      </c>
      <c r="H62" s="192"/>
      <c r="I62" s="181"/>
      <c r="J62" s="180">
        <f t="shared" si="2"/>
        <v>-994</v>
      </c>
      <c r="K62" s="182"/>
      <c r="L62" s="180">
        <f>J62/SUM($E$11:E62)</f>
        <v>-9.94</v>
      </c>
    </row>
    <row r="63" spans="2:12" x14ac:dyDescent="0.2">
      <c r="B63" s="170"/>
      <c r="C63" s="167"/>
      <c r="D63" s="189"/>
      <c r="E63" s="155"/>
      <c r="F63" s="184"/>
      <c r="G63" s="180">
        <v>0</v>
      </c>
      <c r="H63" s="192"/>
      <c r="I63" s="181"/>
      <c r="J63" s="180">
        <f t="shared" si="2"/>
        <v>-994</v>
      </c>
      <c r="K63" s="182"/>
      <c r="L63" s="180">
        <f>J63/SUM($E$11:E63)</f>
        <v>-9.94</v>
      </c>
    </row>
    <row r="64" spans="2:12" x14ac:dyDescent="0.2">
      <c r="B64" s="170"/>
      <c r="C64" s="167"/>
      <c r="D64" s="189"/>
      <c r="E64" s="155"/>
      <c r="F64" s="184"/>
      <c r="G64" s="180">
        <v>0</v>
      </c>
      <c r="H64" s="192"/>
      <c r="I64" s="181"/>
      <c r="J64" s="180">
        <f t="shared" si="2"/>
        <v>-994</v>
      </c>
      <c r="K64" s="182"/>
      <c r="L64" s="180">
        <f>J64/SUM($E$11:E64)</f>
        <v>-9.94</v>
      </c>
    </row>
    <row r="65" spans="2:12" x14ac:dyDescent="0.2">
      <c r="B65" s="170"/>
      <c r="C65" s="167"/>
      <c r="D65" s="189"/>
      <c r="E65" s="155"/>
      <c r="F65" s="184"/>
      <c r="G65" s="180">
        <v>0</v>
      </c>
      <c r="H65" s="192"/>
      <c r="I65" s="181"/>
      <c r="J65" s="180">
        <f t="shared" si="2"/>
        <v>-994</v>
      </c>
      <c r="K65" s="182"/>
      <c r="L65" s="180">
        <f>J65/SUM($E$11:E65)</f>
        <v>-9.94</v>
      </c>
    </row>
    <row r="66" spans="2:12" x14ac:dyDescent="0.2">
      <c r="B66" s="170"/>
      <c r="C66" s="167"/>
      <c r="D66" s="189"/>
      <c r="E66" s="155"/>
      <c r="F66" s="184"/>
      <c r="G66" s="180">
        <v>0</v>
      </c>
      <c r="H66" s="192"/>
      <c r="I66" s="181"/>
      <c r="J66" s="180">
        <f t="shared" si="2"/>
        <v>-994</v>
      </c>
      <c r="K66" s="182"/>
      <c r="L66" s="180">
        <f>J66/SUM($E$11:E66)</f>
        <v>-9.94</v>
      </c>
    </row>
    <row r="67" spans="2:12" x14ac:dyDescent="0.2">
      <c r="B67" s="170"/>
      <c r="C67" s="167"/>
      <c r="D67" s="189"/>
      <c r="E67" s="155"/>
      <c r="F67" s="184"/>
      <c r="G67" s="180">
        <v>0</v>
      </c>
      <c r="H67" s="192"/>
      <c r="I67" s="181"/>
      <c r="J67" s="180">
        <f t="shared" si="2"/>
        <v>-994</v>
      </c>
      <c r="K67" s="182"/>
      <c r="L67" s="180">
        <f>J67/SUM($E$11:E67)</f>
        <v>-9.94</v>
      </c>
    </row>
    <row r="68" spans="2:12" x14ac:dyDescent="0.2">
      <c r="B68" s="170"/>
      <c r="C68" s="167"/>
      <c r="D68" s="189"/>
      <c r="E68" s="155"/>
      <c r="F68" s="184"/>
      <c r="G68" s="180">
        <v>0</v>
      </c>
      <c r="H68" s="192"/>
      <c r="I68" s="181"/>
      <c r="J68" s="180">
        <f t="shared" si="2"/>
        <v>-994</v>
      </c>
      <c r="K68" s="182"/>
      <c r="L68" s="180">
        <f>J68/SUM($E$11:E68)</f>
        <v>-9.94</v>
      </c>
    </row>
    <row r="69" spans="2:12" x14ac:dyDescent="0.2">
      <c r="B69" s="170"/>
      <c r="C69" s="167"/>
      <c r="D69" s="189"/>
      <c r="E69" s="155"/>
      <c r="F69" s="184"/>
      <c r="G69" s="180">
        <v>0</v>
      </c>
      <c r="H69" s="192"/>
      <c r="I69" s="181"/>
      <c r="J69" s="180">
        <f t="shared" si="2"/>
        <v>-994</v>
      </c>
      <c r="K69" s="182"/>
      <c r="L69" s="180">
        <f>J69/SUM($E$11:E69)</f>
        <v>-9.94</v>
      </c>
    </row>
    <row r="70" spans="2:12" x14ac:dyDescent="0.2">
      <c r="B70" s="170"/>
      <c r="C70" s="167"/>
      <c r="D70" s="189"/>
      <c r="E70" s="155"/>
      <c r="F70" s="184"/>
      <c r="G70" s="180">
        <v>0</v>
      </c>
      <c r="H70" s="192"/>
      <c r="I70" s="181"/>
      <c r="J70" s="180">
        <f t="shared" si="2"/>
        <v>-994</v>
      </c>
      <c r="K70" s="182"/>
      <c r="L70" s="180">
        <f>J70/SUM($E$11:E70)</f>
        <v>-9.94</v>
      </c>
    </row>
    <row r="71" spans="2:12" x14ac:dyDescent="0.2">
      <c r="B71" s="170"/>
      <c r="C71" s="167"/>
      <c r="D71" s="189"/>
      <c r="E71" s="155"/>
      <c r="F71" s="184"/>
      <c r="G71" s="180">
        <v>0</v>
      </c>
      <c r="H71" s="192"/>
      <c r="I71" s="181"/>
      <c r="J71" s="180">
        <f t="shared" si="2"/>
        <v>-994</v>
      </c>
      <c r="K71" s="182"/>
      <c r="L71" s="180">
        <f>J71/SUM($E$11:E71)</f>
        <v>-9.94</v>
      </c>
    </row>
    <row r="72" spans="2:12" x14ac:dyDescent="0.2">
      <c r="B72" s="170"/>
      <c r="C72" s="167"/>
      <c r="D72" s="189"/>
      <c r="E72" s="155"/>
      <c r="F72" s="184"/>
      <c r="G72" s="180">
        <v>0</v>
      </c>
      <c r="H72" s="192"/>
      <c r="I72" s="181"/>
      <c r="J72" s="180">
        <f t="shared" si="2"/>
        <v>-994</v>
      </c>
      <c r="K72" s="182"/>
      <c r="L72" s="180">
        <f>J72/SUM($E$11:E72)</f>
        <v>-9.94</v>
      </c>
    </row>
    <row r="73" spans="2:12" x14ac:dyDescent="0.2">
      <c r="B73" s="170"/>
      <c r="C73" s="167"/>
      <c r="D73" s="189"/>
      <c r="E73" s="155"/>
      <c r="F73" s="184"/>
      <c r="G73" s="180">
        <v>0</v>
      </c>
      <c r="H73" s="192"/>
      <c r="I73" s="181"/>
      <c r="J73" s="180">
        <f t="shared" si="2"/>
        <v>-994</v>
      </c>
      <c r="K73" s="182"/>
      <c r="L73" s="180">
        <f>J73/SUM($E$11:E73)</f>
        <v>-9.94</v>
      </c>
    </row>
    <row r="74" spans="2:12" ht="19" x14ac:dyDescent="0.25">
      <c r="B74" s="15"/>
      <c r="C74" s="58"/>
      <c r="D74" s="16"/>
      <c r="E74" s="155"/>
      <c r="F74" s="18"/>
      <c r="G74" s="165">
        <f>SUM(G41:G73)</f>
        <v>-994</v>
      </c>
      <c r="H74" s="178"/>
      <c r="I74" s="20"/>
      <c r="J74" s="19"/>
      <c r="K74" s="31"/>
      <c r="L74" s="165">
        <f>J74/3400</f>
        <v>0</v>
      </c>
    </row>
    <row r="75" spans="2:12" ht="4.75" customHeight="1" x14ac:dyDescent="0.2">
      <c r="B75" s="15"/>
      <c r="C75" s="58"/>
      <c r="D75" s="17"/>
      <c r="E75" s="155"/>
      <c r="F75" s="18"/>
      <c r="G75" s="19"/>
      <c r="H75" s="19"/>
      <c r="I75" s="20"/>
      <c r="J75" s="20"/>
      <c r="K75" s="31"/>
      <c r="L75" s="17"/>
    </row>
    <row r="76" spans="2:12" ht="14" customHeight="1" x14ac:dyDescent="0.25">
      <c r="B76" s="15"/>
      <c r="C76" s="58"/>
      <c r="D76" s="17"/>
      <c r="E76" s="158"/>
      <c r="F76" s="24"/>
      <c r="I76" s="20"/>
      <c r="J76" s="20"/>
      <c r="K76" s="31"/>
      <c r="L76" s="17"/>
    </row>
  </sheetData>
  <mergeCells count="2">
    <mergeCell ref="B1:C1"/>
    <mergeCell ref="B8:G8"/>
  </mergeCells>
  <conditionalFormatting sqref="B74:B113">
    <cfRule type="expression" dxfId="28" priority="10" stopIfTrue="1">
      <formula>K74="assigned"</formula>
    </cfRule>
    <cfRule type="expression" dxfId="27" priority="11">
      <formula>K74="expired"</formula>
    </cfRule>
  </conditionalFormatting>
  <conditionalFormatting sqref="B74:B113">
    <cfRule type="expression" dxfId="26" priority="8">
      <formula>AND(ISNUMBER(SEARCH("call", B74)), K74="expired")</formula>
    </cfRule>
    <cfRule type="expression" dxfId="25" priority="9">
      <formula>AND(ISNUMBER(SEARCH("call", B74)), K74="assigned")</formula>
    </cfRule>
  </conditionalFormatting>
  <conditionalFormatting sqref="B41:B73">
    <cfRule type="expression" dxfId="24" priority="1" stopIfTrue="1">
      <formula>K41="closing"</formula>
    </cfRule>
    <cfRule type="expression" dxfId="23" priority="2" stopIfTrue="1">
      <formula>K41="closed"</formula>
    </cfRule>
    <cfRule type="expression" dxfId="22" priority="3" stopIfTrue="1">
      <formula>K41="ROLL"</formula>
    </cfRule>
    <cfRule type="expression" dxfId="21" priority="4" stopIfTrue="1">
      <formula>AND(ISNUMBER(SEARCH("call", B41)), K41="expired")</formula>
    </cfRule>
    <cfRule type="expression" dxfId="20" priority="5" stopIfTrue="1">
      <formula>AND(ISNUMBER(SEARCH("call", B41)), K41="assigned")</formula>
    </cfRule>
    <cfRule type="expression" dxfId="19" priority="6" stopIfTrue="1">
      <formula>K41="assigned"</formula>
    </cfRule>
    <cfRule type="expression" dxfId="18" priority="7">
      <formula>K41="expired"</formula>
    </cfRule>
  </conditionalFormatting>
  <pageMargins left="0.7" right="0.7" top="0.75" bottom="0.75" header="0.3" footer="0.3"/>
  <pageSetup paperSize="0" orientation="portrait" r:id="rId1"/>
</worksheet>
</file>

<file path=xl/worksheets/sheet5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3F61-ADED-6449-8AB8-17EA3F55EFE6}">
  <sheetPr codeName="Sheet43"/>
  <dimension ref="B1:N79"/>
  <sheetViews>
    <sheetView zoomScale="120" zoomScaleNormal="120" workbookViewId="0">
      <selection activeCell="C47" sqref="C47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380</v>
      </c>
      <c r="C1" s="197"/>
    </row>
    <row r="2" spans="2:14" x14ac:dyDescent="0.2">
      <c r="B2" s="1" t="s">
        <v>381</v>
      </c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-311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>
        <v>80</v>
      </c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>
        <v>50</v>
      </c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373</v>
      </c>
      <c r="C41" s="58" t="d">
        <v>2025-03-20</v>
      </c>
      <c r="D41" s="16"/>
      <c r="E41" s="155"/>
      <c r="F41" s="21"/>
      <c r="G41" s="36">
        <v>-38</v>
      </c>
      <c r="H41" s="20"/>
      <c r="I41" s="36">
        <f>I13+G41</f>
        <v>-38</v>
      </c>
      <c r="J41" s="31" t="s">
        <v>281</v>
      </c>
      <c r="K41" s="36" t="e">
        <f>I41/SUM($E$11:E41)</f>
        <v>#DIV/0!</v>
      </c>
    </row>
    <row r="42" spans="2:11" ht="32" x14ac:dyDescent="0.2">
      <c r="B42" s="67" t="s">
        <v>377</v>
      </c>
      <c r="C42" s="58" t="d">
        <v>2025-03-28</v>
      </c>
      <c r="D42" s="16"/>
      <c r="E42" s="155"/>
      <c r="F42" s="21"/>
      <c r="G42" s="36">
        <v>-25</v>
      </c>
      <c r="H42" s="17"/>
      <c r="I42" s="36">
        <f t="shared" ref="I42:I76" si="2">I41+G42</f>
        <v>-63</v>
      </c>
      <c r="J42" s="31" t="s">
        <v>281</v>
      </c>
      <c r="K42" s="36" t="e">
        <f>I42/SUM($E$11:E42)</f>
        <v>#DIV/0!</v>
      </c>
    </row>
    <row r="43" spans="2:11" ht="32" x14ac:dyDescent="0.2">
      <c r="B43" s="67" t="s">
        <v>378</v>
      </c>
      <c r="C43" s="58" t="d">
        <v>2025-04-22</v>
      </c>
      <c r="D43" s="16"/>
      <c r="E43" s="155"/>
      <c r="G43" s="36">
        <v>-55</v>
      </c>
      <c r="H43" s="17"/>
      <c r="I43" s="36">
        <f t="shared" si="2"/>
        <v>-118</v>
      </c>
      <c r="J43" s="31" t="s">
        <v>281</v>
      </c>
      <c r="K43" s="36" t="e">
        <f>I43/SUM($E$11:E43)</f>
        <v>#DIV/0!</v>
      </c>
    </row>
    <row r="44" spans="2:11" ht="16" x14ac:dyDescent="0.2">
      <c r="B44" s="39" t="s">
        <v>379</v>
      </c>
      <c r="C44" s="58" t="d">
        <v>2025-04-22</v>
      </c>
      <c r="D44" s="16"/>
      <c r="E44" s="155"/>
      <c r="F44" s="18"/>
      <c r="G44" s="36">
        <v>-75</v>
      </c>
      <c r="H44" s="17"/>
      <c r="I44" s="36">
        <f t="shared" si="2"/>
        <v>-193</v>
      </c>
      <c r="J44" s="31" t="s">
        <v>10</v>
      </c>
      <c r="K44" s="36" t="e">
        <f>I44/SUM($E$11:E44)</f>
        <v>#DIV/0!</v>
      </c>
    </row>
    <row r="45" spans="2:11" ht="16" x14ac:dyDescent="0.2">
      <c r="B45" s="39" t="s">
        <v>435</v>
      </c>
      <c r="C45" s="58" t="d">
        <v>2025-04-30</v>
      </c>
      <c r="D45" s="16"/>
      <c r="E45" s="155"/>
      <c r="F45" s="18"/>
      <c r="G45" s="36">
        <v>-36</v>
      </c>
      <c r="H45" s="17"/>
      <c r="I45" s="36">
        <f t="shared" si="2"/>
        <v>-229</v>
      </c>
      <c r="J45" s="31" t="s">
        <v>10</v>
      </c>
      <c r="K45" s="36" t="e">
        <f>I45/SUM($E$11:E45)</f>
        <v>#DIV/0!</v>
      </c>
    </row>
    <row r="46" spans="2:11" ht="16" x14ac:dyDescent="0.2">
      <c r="B46" s="39" t="s">
        <v>477</v>
      </c>
      <c r="C46" s="58" t="d">
        <v>2025-06-03</v>
      </c>
      <c r="D46" s="16"/>
      <c r="E46" s="155"/>
      <c r="F46" s="18"/>
      <c r="G46" s="36">
        <v>-61</v>
      </c>
      <c r="H46" s="17"/>
      <c r="I46" s="36">
        <f t="shared" si="2"/>
        <v>-290</v>
      </c>
      <c r="J46" s="31" t="s">
        <v>10</v>
      </c>
      <c r="K46" s="36" t="e">
        <f>I46/SUM($E$11:E46)</f>
        <v>#DIV/0!</v>
      </c>
    </row>
    <row r="47" spans="2:11" ht="32" x14ac:dyDescent="0.2">
      <c r="B47" s="67" t="s">
        <v>478</v>
      </c>
      <c r="C47" s="58" t="d">
        <v>2025-06-13</v>
      </c>
      <c r="D47" s="16"/>
      <c r="E47" s="155"/>
      <c r="F47" s="18"/>
      <c r="G47" s="36">
        <v>-21</v>
      </c>
      <c r="H47" s="17"/>
      <c r="I47" s="36">
        <f t="shared" si="2"/>
        <v>-311</v>
      </c>
      <c r="J47" s="31" t="s">
        <v>10</v>
      </c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-311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-311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-311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-311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-311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-311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-311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-311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-311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-311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-311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-311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-311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-311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-311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-311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-311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-311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-311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-311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-311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-311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-311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-311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-311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-311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-311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-311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-311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-311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17" priority="8" stopIfTrue="1">
      <formula>J77="assigned"</formula>
    </cfRule>
    <cfRule type="expression" dxfId="16" priority="9">
      <formula>J77="expired"</formula>
    </cfRule>
  </conditionalFormatting>
  <conditionalFormatting sqref="B77:B116">
    <cfRule type="expression" dxfId="15" priority="6">
      <formula>AND(ISNUMBER(SEARCH("call", B77)), J77="expired")</formula>
    </cfRule>
    <cfRule type="expression" dxfId="14" priority="7">
      <formula>AND(ISNUMBER(SEARCH("call", B77)), J77="assigned")</formula>
    </cfRule>
  </conditionalFormatting>
  <conditionalFormatting sqref="B41:B76">
    <cfRule type="expression" dxfId="13" priority="1" stopIfTrue="1">
      <formula>J41="ROLL"</formula>
    </cfRule>
    <cfRule type="expression" dxfId="12" priority="2" stopIfTrue="1">
      <formula>AND(ISNUMBER(SEARCH("call", B41)), J41="expired")</formula>
    </cfRule>
    <cfRule type="expression" dxfId="11" priority="3" stopIfTrue="1">
      <formula>AND(ISNUMBER(SEARCH("call", B41)), J41="assigned")</formula>
    </cfRule>
    <cfRule type="expression" dxfId="10" priority="4" stopIfTrue="1">
      <formula>J41="assigned"</formula>
    </cfRule>
    <cfRule type="expression" dxfId="9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xl/worksheets/sheet5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4850-8E12-0743-8C0C-D90FB43D175A}">
  <sheetPr codeName="Sheet44"/>
  <dimension ref="B1:N79"/>
  <sheetViews>
    <sheetView topLeftCell="A3" zoomScale="120" zoomScaleNormal="120" workbookViewId="0">
      <selection activeCell="C11" sqref="C11"/>
    </sheetView>
  </sheetViews>
  <sheetFormatPr baseColWidth="10" defaultColWidth="8.83203125" defaultRowHeight="15" x14ac:dyDescent="0.2"/>
  <cols>
    <col min="1" max="1" width="6" customWidth="1"/>
    <col min="2" max="2" width="33.6640625" customWidth="1"/>
    <col min="3" max="3" width="16.33203125" style="55" customWidth="1"/>
    <col min="4" max="4" width="12.83203125" customWidth="1"/>
    <col min="5" max="5" width="10.83203125" style="153" customWidth="1"/>
    <col min="6" max="6" width="10.6640625" customWidth="1"/>
    <col min="7" max="7" width="14.1640625" customWidth="1"/>
    <col min="8" max="8" width="3.5" customWidth="1"/>
    <col min="9" max="9" width="11.83203125" customWidth="1"/>
    <col min="10" max="10" width="19" style="29" customWidth="1"/>
    <col min="11" max="11" width="10" style="2" customWidth="1"/>
    <col min="14" max="14" width="12.6640625" bestFit="1" customWidth="1"/>
  </cols>
  <sheetData>
    <row r="1" spans="2:14" ht="29" customHeight="1" x14ac:dyDescent="0.2">
      <c r="B1" s="197" t="s">
        <v>383</v>
      </c>
      <c r="C1" s="197"/>
    </row>
    <row r="2" spans="2:14" x14ac:dyDescent="0.2">
      <c r="B2" s="1"/>
      <c r="C2" s="56"/>
      <c r="D2" s="2"/>
      <c r="F2" s="3"/>
      <c r="G2" s="4"/>
      <c r="N2" s="144" t="s">
        <v>268</v>
      </c>
    </row>
    <row r="3" spans="2:14" ht="19" x14ac:dyDescent="0.25">
      <c r="B3" s="5"/>
      <c r="C3" s="57"/>
      <c r="D3" s="6"/>
      <c r="E3" s="154"/>
      <c r="F3" s="7" t="s">
        <v>0</v>
      </c>
      <c r="G3" s="8">
        <f>IF(ISERROR(SUM(G38,G77)/G4),SUM(G38,G77),SUM(G38,G77)/G4)</f>
        <v>-52</v>
      </c>
      <c r="I3" t="s">
        <v>279</v>
      </c>
      <c r="J3" s="30">
        <v>28.99</v>
      </c>
      <c r="K3" s="6"/>
      <c r="N3" s="143" t="s">
        <v>269</v>
      </c>
    </row>
    <row r="4" spans="2:14" x14ac:dyDescent="0.2">
      <c r="B4" s="1"/>
      <c r="C4" s="56"/>
      <c r="D4" s="2"/>
      <c r="F4" s="3" t="s">
        <v>2</v>
      </c>
      <c r="G4" s="9">
        <f>SUM(E11:E37)</f>
        <v>0</v>
      </c>
      <c r="N4" s="145" t="s">
        <v>270</v>
      </c>
    </row>
    <row r="5" spans="2:14" x14ac:dyDescent="0.2">
      <c r="C5" s="56"/>
      <c r="D5" s="2"/>
      <c r="F5" s="3"/>
      <c r="G5" s="4"/>
      <c r="N5" s="146" t="s">
        <v>271</v>
      </c>
    </row>
    <row r="6" spans="2:14" x14ac:dyDescent="0.2">
      <c r="B6" s="15"/>
      <c r="C6" s="58"/>
      <c r="D6" s="17"/>
      <c r="E6" s="155"/>
      <c r="F6" s="18"/>
      <c r="G6" s="19"/>
      <c r="H6" s="20"/>
      <c r="I6" s="20"/>
      <c r="J6" s="31"/>
      <c r="K6" s="17"/>
      <c r="N6" s="147" t="s">
        <v>266</v>
      </c>
    </row>
    <row r="7" spans="2:14" ht="6" customHeight="1" x14ac:dyDescent="0.2">
      <c r="B7" s="15"/>
      <c r="C7" s="58"/>
      <c r="D7" s="17"/>
      <c r="E7" s="155"/>
      <c r="F7" s="18"/>
      <c r="G7" s="19"/>
      <c r="H7" s="20"/>
      <c r="I7" s="20"/>
      <c r="J7" s="31"/>
      <c r="K7" s="17"/>
    </row>
    <row r="8" spans="2:14" s="26" customFormat="1" ht="12" x14ac:dyDescent="0.15">
      <c r="B8" s="198" t="s">
        <v>3</v>
      </c>
      <c r="C8" s="198"/>
      <c r="D8" s="198"/>
      <c r="E8" s="198"/>
      <c r="F8" s="198"/>
      <c r="G8" s="198"/>
      <c r="H8" s="27"/>
      <c r="I8" s="28" t="s">
        <v>4</v>
      </c>
      <c r="J8" s="32"/>
      <c r="K8" s="28" t="s">
        <v>5</v>
      </c>
    </row>
    <row r="9" spans="2:14" x14ac:dyDescent="0.2">
      <c r="B9" s="12" t="s">
        <v>11</v>
      </c>
      <c r="C9" s="59" t="s">
        <v>6</v>
      </c>
      <c r="D9" s="11" t="s">
        <v>39</v>
      </c>
      <c r="E9" s="156" t="s">
        <v>2</v>
      </c>
      <c r="F9" s="13" t="s">
        <v>7</v>
      </c>
      <c r="G9" s="14" t="s">
        <v>8</v>
      </c>
      <c r="H9" s="11"/>
      <c r="I9" s="11"/>
      <c r="J9" s="33"/>
      <c r="K9" s="11"/>
    </row>
    <row r="10" spans="2:14" ht="5.5" customHeight="1" x14ac:dyDescent="0.2">
      <c r="B10" s="12"/>
      <c r="C10" s="59"/>
      <c r="D10" s="11"/>
      <c r="E10" s="156"/>
      <c r="F10" s="13"/>
      <c r="G10" s="14"/>
      <c r="H10" s="11"/>
      <c r="I10" s="11"/>
      <c r="J10" s="33"/>
      <c r="K10" s="11"/>
    </row>
    <row r="11" spans="2:14" x14ac:dyDescent="0.2">
      <c r="B11" s="15"/>
      <c r="C11" s="58"/>
      <c r="D11" s="16"/>
      <c r="E11" s="157"/>
      <c r="F11" s="21">
        <v>70</v>
      </c>
      <c r="G11" s="44">
        <f>E11*F11</f>
        <v>0</v>
      </c>
      <c r="H11" s="20"/>
      <c r="I11" s="36">
        <f>G11</f>
        <v>0</v>
      </c>
      <c r="J11" s="31"/>
      <c r="K11" s="36" t="e">
        <f>I11/E11</f>
        <v>#DIV/0!</v>
      </c>
    </row>
    <row r="12" spans="2:14" x14ac:dyDescent="0.2">
      <c r="B12" s="15"/>
      <c r="C12" s="58"/>
      <c r="D12" s="16"/>
      <c r="E12" s="157"/>
      <c r="F12" s="21">
        <v>50</v>
      </c>
      <c r="G12" s="44">
        <f>E12*F12</f>
        <v>0</v>
      </c>
      <c r="H12" s="20"/>
      <c r="I12" s="36">
        <f>I11+G12</f>
        <v>0</v>
      </c>
      <c r="J12" s="31"/>
      <c r="K12" s="36" t="e">
        <f>I12/SUM($E$11:E12)</f>
        <v>#DIV/0!</v>
      </c>
    </row>
    <row r="13" spans="2:14" x14ac:dyDescent="0.2">
      <c r="B13" s="15"/>
      <c r="C13" s="58"/>
      <c r="D13" s="16"/>
      <c r="E13" s="157"/>
      <c r="F13" s="21"/>
      <c r="G13" s="44">
        <f t="shared" ref="G13:G37" si="0">E13*F13</f>
        <v>0</v>
      </c>
      <c r="H13" s="20"/>
      <c r="I13" s="36">
        <f>I12+G13</f>
        <v>0</v>
      </c>
      <c r="J13" s="31"/>
      <c r="K13" s="36" t="e">
        <f>I13/SUM($E$11:E13)</f>
        <v>#DIV/0!</v>
      </c>
    </row>
    <row r="14" spans="2:14" x14ac:dyDescent="0.2">
      <c r="B14" s="15"/>
      <c r="C14" s="58"/>
      <c r="D14" s="16"/>
      <c r="E14" s="157"/>
      <c r="F14" s="21"/>
      <c r="G14" s="44">
        <f t="shared" si="0"/>
        <v>0</v>
      </c>
      <c r="H14" s="20"/>
      <c r="I14" s="36">
        <f t="shared" ref="I14:I37" si="1">I13+G14</f>
        <v>0</v>
      </c>
      <c r="J14" s="31"/>
      <c r="K14" s="36" t="e">
        <f>I14/SUM($E$11:E14)</f>
        <v>#DIV/0!</v>
      </c>
    </row>
    <row r="15" spans="2:14" x14ac:dyDescent="0.2">
      <c r="B15" s="15"/>
      <c r="C15" s="58"/>
      <c r="D15" s="16"/>
      <c r="E15" s="157"/>
      <c r="F15" s="21"/>
      <c r="G15" s="44">
        <f t="shared" si="0"/>
        <v>0</v>
      </c>
      <c r="H15" s="20"/>
      <c r="I15" s="36">
        <f t="shared" si="1"/>
        <v>0</v>
      </c>
      <c r="J15" s="31"/>
      <c r="K15" s="36" t="e">
        <f>I15/SUM($E$11:E15)</f>
        <v>#DIV/0!</v>
      </c>
    </row>
    <row r="16" spans="2:14" x14ac:dyDescent="0.2">
      <c r="B16" s="15"/>
      <c r="C16" s="58"/>
      <c r="D16" s="16"/>
      <c r="E16" s="157"/>
      <c r="F16" s="21"/>
      <c r="G16" s="44">
        <f t="shared" si="0"/>
        <v>0</v>
      </c>
      <c r="H16" s="20"/>
      <c r="I16" s="36">
        <f t="shared" si="1"/>
        <v>0</v>
      </c>
      <c r="J16" s="31"/>
      <c r="K16" s="36" t="e">
        <f>I16/SUM($E$11:E16)</f>
        <v>#DIV/0!</v>
      </c>
    </row>
    <row r="17" spans="2:11" x14ac:dyDescent="0.2">
      <c r="B17" s="15"/>
      <c r="C17" s="58"/>
      <c r="D17" s="16"/>
      <c r="E17" s="157"/>
      <c r="F17" s="21"/>
      <c r="G17" s="44">
        <f t="shared" si="0"/>
        <v>0</v>
      </c>
      <c r="H17" s="20"/>
      <c r="I17" s="36">
        <f t="shared" si="1"/>
        <v>0</v>
      </c>
      <c r="J17" s="31"/>
      <c r="K17" s="36" t="e">
        <f>I17/SUM($E$11:E17)</f>
        <v>#DIV/0!</v>
      </c>
    </row>
    <row r="18" spans="2:11" x14ac:dyDescent="0.2">
      <c r="B18" s="15"/>
      <c r="C18" s="58"/>
      <c r="D18" s="16"/>
      <c r="E18" s="157"/>
      <c r="F18" s="21"/>
      <c r="G18" s="44">
        <f t="shared" si="0"/>
        <v>0</v>
      </c>
      <c r="H18" s="20"/>
      <c r="I18" s="36">
        <f t="shared" si="1"/>
        <v>0</v>
      </c>
      <c r="J18" s="31"/>
      <c r="K18" s="36" t="e">
        <f>I18/SUM($E$11:E18)</f>
        <v>#DIV/0!</v>
      </c>
    </row>
    <row r="19" spans="2:11" x14ac:dyDescent="0.2">
      <c r="B19" s="15"/>
      <c r="C19" s="58"/>
      <c r="D19" s="16"/>
      <c r="E19" s="157"/>
      <c r="F19" s="21"/>
      <c r="G19" s="44">
        <f t="shared" si="0"/>
        <v>0</v>
      </c>
      <c r="H19" s="20"/>
      <c r="I19" s="36">
        <f t="shared" si="1"/>
        <v>0</v>
      </c>
      <c r="J19" s="31"/>
      <c r="K19" s="36" t="e">
        <f>I19/SUM($E$11:E19)</f>
        <v>#DIV/0!</v>
      </c>
    </row>
    <row r="20" spans="2:11" x14ac:dyDescent="0.2">
      <c r="B20" s="15"/>
      <c r="C20" s="58"/>
      <c r="D20" s="16"/>
      <c r="E20" s="157"/>
      <c r="F20" s="21"/>
      <c r="G20" s="44">
        <f t="shared" si="0"/>
        <v>0</v>
      </c>
      <c r="H20" s="20"/>
      <c r="I20" s="36">
        <f t="shared" si="1"/>
        <v>0</v>
      </c>
      <c r="J20" s="31"/>
      <c r="K20" s="36" t="e">
        <f>I20/SUM($E$11:E20)</f>
        <v>#DIV/0!</v>
      </c>
    </row>
    <row r="21" spans="2:11" x14ac:dyDescent="0.2">
      <c r="B21" s="15"/>
      <c r="C21" s="58"/>
      <c r="D21" s="16"/>
      <c r="E21" s="157"/>
      <c r="F21" s="21"/>
      <c r="G21" s="44">
        <f t="shared" si="0"/>
        <v>0</v>
      </c>
      <c r="H21" s="20"/>
      <c r="I21" s="36">
        <f t="shared" si="1"/>
        <v>0</v>
      </c>
      <c r="J21" s="31"/>
      <c r="K21" s="36" t="e">
        <f>I21/SUM($E$11:E21)</f>
        <v>#DIV/0!</v>
      </c>
    </row>
    <row r="22" spans="2:11" x14ac:dyDescent="0.2">
      <c r="B22" s="15"/>
      <c r="C22" s="58"/>
      <c r="D22" s="16"/>
      <c r="E22" s="157"/>
      <c r="F22" s="21"/>
      <c r="G22" s="44">
        <f t="shared" si="0"/>
        <v>0</v>
      </c>
      <c r="H22" s="20"/>
      <c r="I22" s="36">
        <f t="shared" si="1"/>
        <v>0</v>
      </c>
      <c r="J22" s="31"/>
      <c r="K22" s="36" t="e">
        <f>I22/SUM($E$11:E22)</f>
        <v>#DIV/0!</v>
      </c>
    </row>
    <row r="23" spans="2:11" x14ac:dyDescent="0.2">
      <c r="B23" s="15"/>
      <c r="C23" s="58"/>
      <c r="D23" s="16"/>
      <c r="E23" s="157"/>
      <c r="F23" s="21"/>
      <c r="G23" s="44">
        <f t="shared" si="0"/>
        <v>0</v>
      </c>
      <c r="H23" s="20"/>
      <c r="I23" s="36">
        <f t="shared" si="1"/>
        <v>0</v>
      </c>
      <c r="J23" s="31"/>
      <c r="K23" s="36" t="e">
        <f>I23/SUM($E$11:E23)</f>
        <v>#DIV/0!</v>
      </c>
    </row>
    <row r="24" spans="2:11" x14ac:dyDescent="0.2">
      <c r="B24" s="15"/>
      <c r="C24" s="58"/>
      <c r="D24" s="16"/>
      <c r="E24" s="157"/>
      <c r="F24" s="21"/>
      <c r="G24" s="44">
        <f t="shared" si="0"/>
        <v>0</v>
      </c>
      <c r="H24" s="20"/>
      <c r="I24" s="36">
        <f t="shared" si="1"/>
        <v>0</v>
      </c>
      <c r="J24" s="31"/>
      <c r="K24" s="36" t="e">
        <f>I24/SUM($E$11:E24)</f>
        <v>#DIV/0!</v>
      </c>
    </row>
    <row r="25" spans="2:11" x14ac:dyDescent="0.2">
      <c r="B25" s="15"/>
      <c r="C25" s="58"/>
      <c r="D25" s="16"/>
      <c r="E25" s="157"/>
      <c r="F25" s="21"/>
      <c r="G25" s="44">
        <f t="shared" si="0"/>
        <v>0</v>
      </c>
      <c r="H25" s="20"/>
      <c r="I25" s="36">
        <f t="shared" si="1"/>
        <v>0</v>
      </c>
      <c r="J25" s="31"/>
      <c r="K25" s="36" t="e">
        <f>I25/SUM($E$11:E25)</f>
        <v>#DIV/0!</v>
      </c>
    </row>
    <row r="26" spans="2:11" x14ac:dyDescent="0.2">
      <c r="B26" s="15"/>
      <c r="C26" s="58"/>
      <c r="D26" s="16"/>
      <c r="E26" s="157"/>
      <c r="F26" s="21"/>
      <c r="G26" s="44">
        <f t="shared" si="0"/>
        <v>0</v>
      </c>
      <c r="H26" s="20"/>
      <c r="I26" s="36">
        <f t="shared" si="1"/>
        <v>0</v>
      </c>
      <c r="J26" s="31"/>
      <c r="K26" s="36" t="e">
        <f>I26/SUM($E$11:E26)</f>
        <v>#DIV/0!</v>
      </c>
    </row>
    <row r="27" spans="2:11" x14ac:dyDescent="0.2">
      <c r="B27" s="15"/>
      <c r="C27" s="58"/>
      <c r="D27" s="16"/>
      <c r="E27" s="157"/>
      <c r="F27" s="21"/>
      <c r="G27" s="44">
        <f t="shared" si="0"/>
        <v>0</v>
      </c>
      <c r="H27" s="20"/>
      <c r="I27" s="36">
        <f t="shared" si="1"/>
        <v>0</v>
      </c>
      <c r="J27" s="31"/>
      <c r="K27" s="36" t="e">
        <f>I27/SUM($E$11:E27)</f>
        <v>#DIV/0!</v>
      </c>
    </row>
    <row r="28" spans="2:11" x14ac:dyDescent="0.2">
      <c r="B28" s="15"/>
      <c r="C28" s="58"/>
      <c r="D28" s="16"/>
      <c r="E28" s="157"/>
      <c r="F28" s="21"/>
      <c r="G28" s="44">
        <f t="shared" si="0"/>
        <v>0</v>
      </c>
      <c r="H28" s="20"/>
      <c r="I28" s="36">
        <f t="shared" si="1"/>
        <v>0</v>
      </c>
      <c r="J28" s="31"/>
      <c r="K28" s="36" t="e">
        <f>I28/SUM($E$11:E28)</f>
        <v>#DIV/0!</v>
      </c>
    </row>
    <row r="29" spans="2:11" x14ac:dyDescent="0.2">
      <c r="B29" s="15"/>
      <c r="C29" s="58"/>
      <c r="D29" s="16"/>
      <c r="E29" s="157"/>
      <c r="F29" s="21"/>
      <c r="G29" s="44">
        <f t="shared" si="0"/>
        <v>0</v>
      </c>
      <c r="H29" s="20"/>
      <c r="I29" s="36">
        <f t="shared" si="1"/>
        <v>0</v>
      </c>
      <c r="J29" s="31"/>
      <c r="K29" s="36" t="e">
        <f>I29/SUM($E$11:E29)</f>
        <v>#DIV/0!</v>
      </c>
    </row>
    <row r="30" spans="2:11" x14ac:dyDescent="0.2">
      <c r="B30" s="15"/>
      <c r="C30" s="58"/>
      <c r="D30" s="16"/>
      <c r="E30" s="157"/>
      <c r="F30" s="21"/>
      <c r="G30" s="44">
        <f t="shared" si="0"/>
        <v>0</v>
      </c>
      <c r="H30" s="20"/>
      <c r="I30" s="36">
        <f t="shared" si="1"/>
        <v>0</v>
      </c>
      <c r="J30" s="31"/>
      <c r="K30" s="36" t="e">
        <f>I30/SUM($E$11:E30)</f>
        <v>#DIV/0!</v>
      </c>
    </row>
    <row r="31" spans="2:11" x14ac:dyDescent="0.2">
      <c r="B31" s="15"/>
      <c r="C31" s="58"/>
      <c r="D31" s="16"/>
      <c r="E31" s="157"/>
      <c r="F31" s="21"/>
      <c r="G31" s="44">
        <f t="shared" si="0"/>
        <v>0</v>
      </c>
      <c r="H31" s="20"/>
      <c r="I31" s="36">
        <f t="shared" si="1"/>
        <v>0</v>
      </c>
      <c r="J31" s="31"/>
      <c r="K31" s="36" t="e">
        <f>I31/SUM($E$11:E31)</f>
        <v>#DIV/0!</v>
      </c>
    </row>
    <row r="32" spans="2:11" x14ac:dyDescent="0.2">
      <c r="B32" s="15"/>
      <c r="C32" s="58"/>
      <c r="D32" s="16"/>
      <c r="E32" s="157"/>
      <c r="F32" s="21"/>
      <c r="G32" s="44">
        <f t="shared" si="0"/>
        <v>0</v>
      </c>
      <c r="H32" s="20"/>
      <c r="I32" s="36">
        <f t="shared" si="1"/>
        <v>0</v>
      </c>
      <c r="J32" s="31"/>
      <c r="K32" s="36" t="e">
        <f>I32/SUM($E$11:E32)</f>
        <v>#DIV/0!</v>
      </c>
    </row>
    <row r="33" spans="2:11" x14ac:dyDescent="0.2">
      <c r="B33" s="15"/>
      <c r="C33" s="58"/>
      <c r="D33" s="16"/>
      <c r="E33" s="157"/>
      <c r="F33" s="21"/>
      <c r="G33" s="44">
        <f t="shared" si="0"/>
        <v>0</v>
      </c>
      <c r="H33" s="20"/>
      <c r="I33" s="36">
        <f t="shared" si="1"/>
        <v>0</v>
      </c>
      <c r="J33" s="31"/>
      <c r="K33" s="36" t="e">
        <f>I33/SUM($E$11:E33)</f>
        <v>#DIV/0!</v>
      </c>
    </row>
    <row r="34" spans="2:11" x14ac:dyDescent="0.2">
      <c r="B34" s="15"/>
      <c r="C34" s="58"/>
      <c r="D34" s="16"/>
      <c r="E34" s="157"/>
      <c r="F34" s="21"/>
      <c r="G34" s="44">
        <f t="shared" si="0"/>
        <v>0</v>
      </c>
      <c r="H34" s="20"/>
      <c r="I34" s="36">
        <f t="shared" si="1"/>
        <v>0</v>
      </c>
      <c r="J34" s="31"/>
      <c r="K34" s="36" t="e">
        <f>I34/SUM($E$11:E34)</f>
        <v>#DIV/0!</v>
      </c>
    </row>
    <row r="35" spans="2:11" x14ac:dyDescent="0.2">
      <c r="B35" s="15"/>
      <c r="C35" s="58"/>
      <c r="D35" s="16"/>
      <c r="E35" s="157"/>
      <c r="F35" s="21"/>
      <c r="G35" s="44">
        <f t="shared" si="0"/>
        <v>0</v>
      </c>
      <c r="H35" s="20"/>
      <c r="I35" s="36">
        <f t="shared" si="1"/>
        <v>0</v>
      </c>
      <c r="J35" s="31"/>
      <c r="K35" s="36" t="e">
        <f>I35/SUM($E$11:E35)</f>
        <v>#DIV/0!</v>
      </c>
    </row>
    <row r="36" spans="2:11" x14ac:dyDescent="0.2">
      <c r="B36" s="15"/>
      <c r="C36" s="58"/>
      <c r="D36" s="16"/>
      <c r="E36" s="157"/>
      <c r="F36" s="21"/>
      <c r="G36" s="44">
        <f t="shared" si="0"/>
        <v>0</v>
      </c>
      <c r="H36" s="20"/>
      <c r="I36" s="36">
        <f>I19+G36</f>
        <v>0</v>
      </c>
      <c r="J36" s="31"/>
      <c r="K36" s="36" t="e">
        <f>I36/SUM($E$11:E36)</f>
        <v>#DIV/0!</v>
      </c>
    </row>
    <row r="37" spans="2:11" x14ac:dyDescent="0.2">
      <c r="B37" s="15"/>
      <c r="C37" s="58"/>
      <c r="D37" s="16"/>
      <c r="E37" s="157"/>
      <c r="F37" s="21"/>
      <c r="G37" s="44">
        <f t="shared" si="0"/>
        <v>0</v>
      </c>
      <c r="H37" s="20"/>
      <c r="I37" s="36">
        <f t="shared" si="1"/>
        <v>0</v>
      </c>
      <c r="J37" s="31"/>
      <c r="K37" s="36" t="e">
        <f>I37/SUM($E$11:E37)</f>
        <v>#DIV/0!</v>
      </c>
    </row>
    <row r="38" spans="2:11" ht="19" x14ac:dyDescent="0.25">
      <c r="B38" s="15"/>
      <c r="C38" s="58"/>
      <c r="D38" s="16"/>
      <c r="E38" s="155"/>
      <c r="F38" s="18"/>
      <c r="G38" s="137">
        <f>SUM(G11:G37)</f>
        <v>0</v>
      </c>
      <c r="H38" s="20"/>
      <c r="I38" s="19"/>
      <c r="J38" s="31"/>
      <c r="K38" s="137" t="e">
        <f>SUM(G11:G37)/SUM(E11:E38)</f>
        <v>#DIV/0!</v>
      </c>
    </row>
    <row r="39" spans="2:11" ht="6" customHeight="1" x14ac:dyDescent="0.2">
      <c r="B39" s="15"/>
      <c r="C39" s="58"/>
      <c r="D39" s="17"/>
      <c r="E39" s="155"/>
      <c r="F39" s="18"/>
      <c r="G39" s="19"/>
      <c r="H39" s="20"/>
      <c r="I39" s="20"/>
      <c r="J39" s="31"/>
      <c r="K39" s="17"/>
    </row>
    <row r="40" spans="2:11" ht="6.5" customHeight="1" x14ac:dyDescent="0.2">
      <c r="B40" s="15"/>
      <c r="C40" s="58"/>
      <c r="D40" s="17"/>
      <c r="E40" s="155"/>
      <c r="F40" s="18"/>
      <c r="G40" s="19"/>
      <c r="H40" s="20"/>
      <c r="I40" s="20"/>
      <c r="J40" s="31"/>
      <c r="K40" s="17"/>
    </row>
    <row r="41" spans="2:11" ht="16" x14ac:dyDescent="0.2">
      <c r="B41" s="39" t="s">
        <v>382</v>
      </c>
      <c r="C41" s="58" t="d">
        <v>2025-03-20</v>
      </c>
      <c r="D41" s="16"/>
      <c r="E41" s="155"/>
      <c r="F41" s="21"/>
      <c r="G41" s="36">
        <v>-52</v>
      </c>
      <c r="H41" s="20"/>
      <c r="I41" s="36">
        <f>I13+G41</f>
        <v>-52</v>
      </c>
      <c r="J41" s="31" t="s">
        <v>10</v>
      </c>
      <c r="K41" s="36" t="e">
        <f>I41/SUM($E$11:E41)</f>
        <v>#DIV/0!</v>
      </c>
    </row>
    <row r="42" spans="2:11" x14ac:dyDescent="0.2">
      <c r="B42" s="67"/>
      <c r="C42" s="58"/>
      <c r="D42" s="16"/>
      <c r="E42" s="155"/>
      <c r="F42" s="21"/>
      <c r="G42" s="36">
        <v>0</v>
      </c>
      <c r="H42" s="17"/>
      <c r="I42" s="36">
        <f t="shared" ref="I42:I76" si="2">I41+G42</f>
        <v>-52</v>
      </c>
      <c r="J42" s="31"/>
      <c r="K42" s="36" t="e">
        <f>I42/SUM($E$11:E42)</f>
        <v>#DIV/0!</v>
      </c>
    </row>
    <row r="43" spans="2:11" x14ac:dyDescent="0.2">
      <c r="B43" s="67"/>
      <c r="C43" s="58"/>
      <c r="D43" s="16"/>
      <c r="E43" s="155"/>
      <c r="G43" s="36">
        <v>0</v>
      </c>
      <c r="H43" s="17"/>
      <c r="I43" s="36">
        <f t="shared" si="2"/>
        <v>-52</v>
      </c>
      <c r="J43" s="31"/>
      <c r="K43" s="36" t="e">
        <f>I43/SUM($E$11:E43)</f>
        <v>#DIV/0!</v>
      </c>
    </row>
    <row r="44" spans="2:11" x14ac:dyDescent="0.2">
      <c r="B44" s="39"/>
      <c r="C44" s="58"/>
      <c r="D44" s="16"/>
      <c r="E44" s="155"/>
      <c r="F44" s="18"/>
      <c r="G44" s="36">
        <v>0</v>
      </c>
      <c r="H44" s="17"/>
      <c r="I44" s="36">
        <f t="shared" si="2"/>
        <v>-52</v>
      </c>
      <c r="J44" s="31"/>
      <c r="K44" s="36" t="e">
        <f>I44/SUM($E$11:E44)</f>
        <v>#DIV/0!</v>
      </c>
    </row>
    <row r="45" spans="2:11" x14ac:dyDescent="0.2">
      <c r="B45" s="39"/>
      <c r="C45" s="58"/>
      <c r="D45" s="16"/>
      <c r="E45" s="155"/>
      <c r="F45" s="18"/>
      <c r="G45" s="36">
        <v>0</v>
      </c>
      <c r="H45" s="17"/>
      <c r="I45" s="36">
        <f t="shared" si="2"/>
        <v>-52</v>
      </c>
      <c r="J45" s="31"/>
      <c r="K45" s="36" t="e">
        <f>I45/SUM($E$11:E45)</f>
        <v>#DIV/0!</v>
      </c>
    </row>
    <row r="46" spans="2:11" x14ac:dyDescent="0.2">
      <c r="B46" s="39"/>
      <c r="C46" s="58"/>
      <c r="D46" s="16"/>
      <c r="E46" s="155"/>
      <c r="F46" s="18"/>
      <c r="G46" s="36">
        <v>0</v>
      </c>
      <c r="H46" s="17"/>
      <c r="I46" s="36">
        <f t="shared" si="2"/>
        <v>-52</v>
      </c>
      <c r="J46" s="31"/>
      <c r="K46" s="36" t="e">
        <f>I46/SUM($E$11:E46)</f>
        <v>#DIV/0!</v>
      </c>
    </row>
    <row r="47" spans="2:11" x14ac:dyDescent="0.2">
      <c r="B47" s="39"/>
      <c r="C47" s="58"/>
      <c r="D47" s="16"/>
      <c r="E47" s="155"/>
      <c r="F47" s="18"/>
      <c r="G47" s="36">
        <v>0</v>
      </c>
      <c r="H47" s="17"/>
      <c r="I47" s="36">
        <f t="shared" si="2"/>
        <v>-52</v>
      </c>
      <c r="J47" s="31"/>
      <c r="K47" s="36" t="e">
        <f>I47/SUM($E$11:E47)</f>
        <v>#DIV/0!</v>
      </c>
    </row>
    <row r="48" spans="2:11" x14ac:dyDescent="0.2">
      <c r="B48" s="39"/>
      <c r="C48" s="58"/>
      <c r="D48" s="16"/>
      <c r="E48" s="155"/>
      <c r="F48" s="18"/>
      <c r="G48" s="36">
        <v>0</v>
      </c>
      <c r="H48" s="17"/>
      <c r="I48" s="36">
        <f t="shared" si="2"/>
        <v>-52</v>
      </c>
      <c r="J48" s="31"/>
      <c r="K48" s="36" t="e">
        <f>I48/SUM($E$11:E48)</f>
        <v>#DIV/0!</v>
      </c>
    </row>
    <row r="49" spans="2:11" x14ac:dyDescent="0.2">
      <c r="B49" s="39"/>
      <c r="C49" s="58"/>
      <c r="D49" s="16"/>
      <c r="E49" s="155"/>
      <c r="F49" s="18"/>
      <c r="G49" s="36">
        <v>0</v>
      </c>
      <c r="H49" s="20"/>
      <c r="I49" s="36">
        <f t="shared" si="2"/>
        <v>-52</v>
      </c>
      <c r="J49" s="31"/>
      <c r="K49" s="36" t="e">
        <f>I49/SUM($E$11:E49)</f>
        <v>#DIV/0!</v>
      </c>
    </row>
    <row r="50" spans="2:11" ht="17" customHeight="1" x14ac:dyDescent="0.2">
      <c r="B50" s="39"/>
      <c r="C50" s="58"/>
      <c r="D50" s="16"/>
      <c r="E50" s="155"/>
      <c r="F50" s="18"/>
      <c r="G50" s="36">
        <v>0</v>
      </c>
      <c r="H50" s="20"/>
      <c r="I50" s="36">
        <f t="shared" si="2"/>
        <v>-52</v>
      </c>
      <c r="J50" s="31"/>
      <c r="K50" s="36" t="e">
        <f>I50/SUM($E$11:E50)</f>
        <v>#DIV/0!</v>
      </c>
    </row>
    <row r="51" spans="2:11" x14ac:dyDescent="0.2">
      <c r="B51" s="39"/>
      <c r="C51" s="58"/>
      <c r="D51" s="16"/>
      <c r="E51" s="155"/>
      <c r="F51" s="18"/>
      <c r="G51" s="36">
        <v>0</v>
      </c>
      <c r="H51" s="20"/>
      <c r="I51" s="36">
        <f t="shared" si="2"/>
        <v>-52</v>
      </c>
      <c r="J51" s="31"/>
      <c r="K51" s="36" t="e">
        <f>I51/SUM($E$11:E51)</f>
        <v>#DIV/0!</v>
      </c>
    </row>
    <row r="52" spans="2:11" x14ac:dyDescent="0.2">
      <c r="B52" s="39"/>
      <c r="C52" s="58"/>
      <c r="D52" s="16"/>
      <c r="E52" s="155"/>
      <c r="F52" s="18"/>
      <c r="G52" s="36">
        <v>0</v>
      </c>
      <c r="H52" s="20"/>
      <c r="I52" s="36">
        <f t="shared" si="2"/>
        <v>-52</v>
      </c>
      <c r="J52" s="31"/>
      <c r="K52" s="36" t="e">
        <f>I52/SUM($E$11:E52)</f>
        <v>#DIV/0!</v>
      </c>
    </row>
    <row r="53" spans="2:11" x14ac:dyDescent="0.2">
      <c r="B53" s="39"/>
      <c r="C53" s="58"/>
      <c r="D53" s="16"/>
      <c r="E53" s="155"/>
      <c r="F53" s="18"/>
      <c r="G53" s="36">
        <v>0</v>
      </c>
      <c r="H53" s="20"/>
      <c r="I53" s="36">
        <f t="shared" si="2"/>
        <v>-52</v>
      </c>
      <c r="J53" s="31"/>
      <c r="K53" s="36" t="e">
        <f>I53/SUM($E$11:E53)</f>
        <v>#DIV/0!</v>
      </c>
    </row>
    <row r="54" spans="2:11" x14ac:dyDescent="0.2">
      <c r="B54" s="39"/>
      <c r="C54" s="58"/>
      <c r="D54" s="16"/>
      <c r="E54" s="155"/>
      <c r="F54" s="18"/>
      <c r="G54" s="36">
        <v>0</v>
      </c>
      <c r="H54" s="20"/>
      <c r="I54" s="36">
        <f t="shared" si="2"/>
        <v>-52</v>
      </c>
      <c r="J54" s="31"/>
      <c r="K54" s="36" t="e">
        <f>I54/SUM($E$11:E54)</f>
        <v>#DIV/0!</v>
      </c>
    </row>
    <row r="55" spans="2:11" x14ac:dyDescent="0.2">
      <c r="B55" s="39"/>
      <c r="C55" s="58"/>
      <c r="D55" s="16"/>
      <c r="E55" s="155"/>
      <c r="F55" s="18"/>
      <c r="G55" s="36">
        <v>0</v>
      </c>
      <c r="H55" s="20"/>
      <c r="I55" s="36">
        <f t="shared" si="2"/>
        <v>-52</v>
      </c>
      <c r="J55" s="31"/>
      <c r="K55" s="36" t="e">
        <f>I55/SUM($E$11:E55)</f>
        <v>#DIV/0!</v>
      </c>
    </row>
    <row r="56" spans="2:11" ht="16" customHeight="1" x14ac:dyDescent="0.2">
      <c r="B56" s="39"/>
      <c r="C56" s="58"/>
      <c r="D56" s="16"/>
      <c r="E56" s="155"/>
      <c r="F56" s="18"/>
      <c r="G56" s="36">
        <v>0</v>
      </c>
      <c r="H56" s="20"/>
      <c r="I56" s="36">
        <f t="shared" si="2"/>
        <v>-52</v>
      </c>
      <c r="J56" s="31"/>
      <c r="K56" s="36" t="e">
        <f>I56/SUM($E$11:E56)</f>
        <v>#DIV/0!</v>
      </c>
    </row>
    <row r="57" spans="2:11" ht="18" customHeight="1" x14ac:dyDescent="0.2">
      <c r="B57" s="39"/>
      <c r="C57" s="58"/>
      <c r="D57" s="16"/>
      <c r="E57" s="155"/>
      <c r="F57" s="18"/>
      <c r="G57" s="36">
        <v>0</v>
      </c>
      <c r="H57" s="20"/>
      <c r="I57" s="36">
        <f t="shared" si="2"/>
        <v>-52</v>
      </c>
      <c r="J57" s="31"/>
      <c r="K57" s="36" t="e">
        <f>I57/SUM($E$11:E57)</f>
        <v>#DIV/0!</v>
      </c>
    </row>
    <row r="58" spans="2:11" x14ac:dyDescent="0.2">
      <c r="B58" s="39"/>
      <c r="C58" s="58"/>
      <c r="D58" s="16"/>
      <c r="E58" s="155"/>
      <c r="F58" s="18"/>
      <c r="G58" s="36">
        <v>0</v>
      </c>
      <c r="H58" s="20"/>
      <c r="I58" s="36">
        <f t="shared" si="2"/>
        <v>-52</v>
      </c>
      <c r="J58" s="31"/>
      <c r="K58" s="36" t="e">
        <f>I58/SUM($E$11:E58)</f>
        <v>#DIV/0!</v>
      </c>
    </row>
    <row r="59" spans="2:11" x14ac:dyDescent="0.2">
      <c r="B59" s="39"/>
      <c r="C59" s="58"/>
      <c r="D59" s="16"/>
      <c r="E59" s="155"/>
      <c r="F59" s="18"/>
      <c r="G59" s="36">
        <v>0</v>
      </c>
      <c r="H59" s="20"/>
      <c r="I59" s="36">
        <f t="shared" si="2"/>
        <v>-52</v>
      </c>
      <c r="J59" s="31"/>
      <c r="K59" s="36" t="e">
        <f>I59/SUM($E$11:E59)</f>
        <v>#DIV/0!</v>
      </c>
    </row>
    <row r="60" spans="2:11" x14ac:dyDescent="0.2">
      <c r="B60" s="39"/>
      <c r="C60" s="58"/>
      <c r="D60" s="16"/>
      <c r="E60" s="155"/>
      <c r="F60" s="18"/>
      <c r="G60" s="36">
        <v>0</v>
      </c>
      <c r="H60" s="20"/>
      <c r="I60" s="36">
        <f t="shared" si="2"/>
        <v>-52</v>
      </c>
      <c r="J60" s="31"/>
      <c r="K60" s="36" t="e">
        <f>I60/SUM($E$11:E60)</f>
        <v>#DIV/0!</v>
      </c>
    </row>
    <row r="61" spans="2:11" x14ac:dyDescent="0.2">
      <c r="B61" s="39"/>
      <c r="C61" s="58"/>
      <c r="D61" s="16"/>
      <c r="E61" s="155"/>
      <c r="F61" s="18"/>
      <c r="G61" s="36">
        <v>0</v>
      </c>
      <c r="H61" s="20"/>
      <c r="I61" s="36">
        <f t="shared" si="2"/>
        <v>-52</v>
      </c>
      <c r="J61" s="31"/>
      <c r="K61" s="36" t="e">
        <f>I61/SUM($E$11:E61)</f>
        <v>#DIV/0!</v>
      </c>
    </row>
    <row r="62" spans="2:11" x14ac:dyDescent="0.2">
      <c r="B62" s="39"/>
      <c r="C62" s="58"/>
      <c r="D62" s="16"/>
      <c r="E62" s="155"/>
      <c r="F62" s="18"/>
      <c r="G62" s="36">
        <v>0</v>
      </c>
      <c r="H62" s="20"/>
      <c r="I62" s="36">
        <f t="shared" si="2"/>
        <v>-52</v>
      </c>
      <c r="J62" s="31"/>
      <c r="K62" s="36" t="e">
        <f>I62/SUM($E$11:E62)</f>
        <v>#DIV/0!</v>
      </c>
    </row>
    <row r="63" spans="2:11" x14ac:dyDescent="0.2">
      <c r="B63" s="39"/>
      <c r="C63" s="58"/>
      <c r="D63" s="16"/>
      <c r="E63" s="155"/>
      <c r="F63" s="18"/>
      <c r="G63" s="36">
        <v>0</v>
      </c>
      <c r="H63" s="20"/>
      <c r="I63" s="36">
        <f t="shared" si="2"/>
        <v>-52</v>
      </c>
      <c r="J63" s="31"/>
      <c r="K63" s="36" t="e">
        <f>I63/SUM($E$11:E63)</f>
        <v>#DIV/0!</v>
      </c>
    </row>
    <row r="64" spans="2:11" x14ac:dyDescent="0.2">
      <c r="B64" s="39"/>
      <c r="C64" s="58"/>
      <c r="D64" s="16"/>
      <c r="E64" s="155"/>
      <c r="F64" s="18"/>
      <c r="G64" s="36">
        <v>0</v>
      </c>
      <c r="H64" s="20"/>
      <c r="I64" s="36">
        <f t="shared" si="2"/>
        <v>-52</v>
      </c>
      <c r="J64" s="31"/>
      <c r="K64" s="36" t="e">
        <f>I64/SUM($E$11:E64)</f>
        <v>#DIV/0!</v>
      </c>
    </row>
    <row r="65" spans="2:11" x14ac:dyDescent="0.2">
      <c r="B65" s="39"/>
      <c r="C65" s="58"/>
      <c r="D65" s="16"/>
      <c r="E65" s="155"/>
      <c r="F65" s="18"/>
      <c r="G65" s="36">
        <v>0</v>
      </c>
      <c r="H65" s="20"/>
      <c r="I65" s="36">
        <f t="shared" si="2"/>
        <v>-52</v>
      </c>
      <c r="J65" s="31"/>
      <c r="K65" s="36" t="e">
        <f>I65/SUM($E$11:E65)</f>
        <v>#DIV/0!</v>
      </c>
    </row>
    <row r="66" spans="2:11" x14ac:dyDescent="0.2">
      <c r="B66" s="39"/>
      <c r="C66" s="58"/>
      <c r="D66" s="16"/>
      <c r="E66" s="155"/>
      <c r="F66" s="18"/>
      <c r="G66" s="36">
        <v>0</v>
      </c>
      <c r="H66" s="20"/>
      <c r="I66" s="36">
        <f t="shared" si="2"/>
        <v>-52</v>
      </c>
      <c r="J66" s="31"/>
      <c r="K66" s="36" t="e">
        <f>I66/SUM($E$11:E66)</f>
        <v>#DIV/0!</v>
      </c>
    </row>
    <row r="67" spans="2:11" x14ac:dyDescent="0.2">
      <c r="B67" s="39"/>
      <c r="C67" s="58"/>
      <c r="D67" s="16"/>
      <c r="E67" s="155"/>
      <c r="F67" s="18"/>
      <c r="G67" s="36">
        <v>0</v>
      </c>
      <c r="H67" s="20"/>
      <c r="I67" s="36">
        <f t="shared" si="2"/>
        <v>-52</v>
      </c>
      <c r="J67" s="31"/>
      <c r="K67" s="36" t="e">
        <f>I67/SUM($E$11:E67)</f>
        <v>#DIV/0!</v>
      </c>
    </row>
    <row r="68" spans="2:11" x14ac:dyDescent="0.2">
      <c r="B68" s="39"/>
      <c r="C68" s="58"/>
      <c r="D68" s="16"/>
      <c r="E68" s="155"/>
      <c r="F68" s="18"/>
      <c r="G68" s="36">
        <v>0</v>
      </c>
      <c r="H68" s="20"/>
      <c r="I68" s="36">
        <f t="shared" si="2"/>
        <v>-52</v>
      </c>
      <c r="J68" s="31"/>
      <c r="K68" s="36" t="e">
        <f>I68/SUM($E$11:E68)</f>
        <v>#DIV/0!</v>
      </c>
    </row>
    <row r="69" spans="2:11" x14ac:dyDescent="0.2">
      <c r="B69" s="39"/>
      <c r="C69" s="58"/>
      <c r="D69" s="16"/>
      <c r="E69" s="155"/>
      <c r="F69" s="18"/>
      <c r="G69" s="36">
        <v>0</v>
      </c>
      <c r="H69" s="20"/>
      <c r="I69" s="36">
        <f t="shared" si="2"/>
        <v>-52</v>
      </c>
      <c r="J69" s="31"/>
      <c r="K69" s="36" t="e">
        <f>I69/SUM($E$11:E69)</f>
        <v>#DIV/0!</v>
      </c>
    </row>
    <row r="70" spans="2:11" x14ac:dyDescent="0.2">
      <c r="B70" s="39"/>
      <c r="C70" s="58"/>
      <c r="D70" s="16"/>
      <c r="E70" s="155"/>
      <c r="F70" s="18"/>
      <c r="G70" s="36">
        <v>0</v>
      </c>
      <c r="H70" s="20"/>
      <c r="I70" s="36">
        <f t="shared" si="2"/>
        <v>-52</v>
      </c>
      <c r="J70" s="31"/>
      <c r="K70" s="36" t="e">
        <f>I70/SUM($E$11:E70)</f>
        <v>#DIV/0!</v>
      </c>
    </row>
    <row r="71" spans="2:11" x14ac:dyDescent="0.2">
      <c r="B71" s="39"/>
      <c r="C71" s="58"/>
      <c r="D71" s="16"/>
      <c r="E71" s="155"/>
      <c r="F71" s="18"/>
      <c r="G71" s="36">
        <v>0</v>
      </c>
      <c r="H71" s="20"/>
      <c r="I71" s="36">
        <f t="shared" si="2"/>
        <v>-52</v>
      </c>
      <c r="J71" s="31"/>
      <c r="K71" s="36" t="e">
        <f>I71/SUM($E$11:E71)</f>
        <v>#DIV/0!</v>
      </c>
    </row>
    <row r="72" spans="2:11" x14ac:dyDescent="0.2">
      <c r="B72" s="39"/>
      <c r="C72" s="58"/>
      <c r="D72" s="16"/>
      <c r="E72" s="155"/>
      <c r="F72" s="18"/>
      <c r="G72" s="36">
        <v>0</v>
      </c>
      <c r="H72" s="20"/>
      <c r="I72" s="36">
        <f t="shared" si="2"/>
        <v>-52</v>
      </c>
      <c r="J72" s="31"/>
      <c r="K72" s="36" t="e">
        <f>I72/SUM($E$11:E72)</f>
        <v>#DIV/0!</v>
      </c>
    </row>
    <row r="73" spans="2:11" x14ac:dyDescent="0.2">
      <c r="B73" s="39"/>
      <c r="C73" s="58"/>
      <c r="D73" s="16"/>
      <c r="E73" s="155"/>
      <c r="F73" s="18"/>
      <c r="G73" s="36">
        <v>0</v>
      </c>
      <c r="H73" s="20"/>
      <c r="I73" s="36">
        <f t="shared" si="2"/>
        <v>-52</v>
      </c>
      <c r="J73" s="31"/>
      <c r="K73" s="36" t="e">
        <f>I73/SUM($E$11:E73)</f>
        <v>#DIV/0!</v>
      </c>
    </row>
    <row r="74" spans="2:11" x14ac:dyDescent="0.2">
      <c r="B74" s="39"/>
      <c r="C74" s="58"/>
      <c r="D74" s="16"/>
      <c r="E74" s="155"/>
      <c r="F74" s="18"/>
      <c r="G74" s="36">
        <v>0</v>
      </c>
      <c r="H74" s="20"/>
      <c r="I74" s="36">
        <f t="shared" si="2"/>
        <v>-52</v>
      </c>
      <c r="J74" s="31"/>
      <c r="K74" s="36" t="e">
        <f>I74/SUM($E$11:E74)</f>
        <v>#DIV/0!</v>
      </c>
    </row>
    <row r="75" spans="2:11" x14ac:dyDescent="0.2">
      <c r="B75" s="39"/>
      <c r="C75" s="58"/>
      <c r="D75" s="16"/>
      <c r="E75" s="155"/>
      <c r="F75" s="18"/>
      <c r="G75" s="36">
        <v>0</v>
      </c>
      <c r="H75" s="20"/>
      <c r="I75" s="36">
        <f t="shared" si="2"/>
        <v>-52</v>
      </c>
      <c r="J75" s="31"/>
      <c r="K75" s="36" t="e">
        <f>I75/SUM($E$11:E75)</f>
        <v>#DIV/0!</v>
      </c>
    </row>
    <row r="76" spans="2:11" x14ac:dyDescent="0.2">
      <c r="B76" s="39"/>
      <c r="C76" s="58"/>
      <c r="D76" s="16"/>
      <c r="E76" s="155"/>
      <c r="F76" s="18"/>
      <c r="G76" s="36">
        <v>0</v>
      </c>
      <c r="H76" s="20"/>
      <c r="I76" s="36">
        <f t="shared" si="2"/>
        <v>-52</v>
      </c>
      <c r="J76" s="31"/>
      <c r="K76" s="36" t="e">
        <f>I76/SUM($E$11:E76)</f>
        <v>#DIV/0!</v>
      </c>
    </row>
    <row r="77" spans="2:11" ht="19" x14ac:dyDescent="0.25">
      <c r="B77" s="15"/>
      <c r="C77" s="58"/>
      <c r="D77" s="16"/>
      <c r="E77" s="155"/>
      <c r="F77" s="18"/>
      <c r="G77" s="137">
        <f>SUM(G41:G76)</f>
        <v>-52</v>
      </c>
      <c r="H77" s="20"/>
      <c r="I77" s="19"/>
      <c r="J77" s="31"/>
      <c r="K77" s="137">
        <f>I77/3400</f>
        <v>0</v>
      </c>
    </row>
    <row r="78" spans="2:11" ht="4.75" customHeight="1" x14ac:dyDescent="0.2">
      <c r="B78" s="15"/>
      <c r="C78" s="58"/>
      <c r="D78" s="17"/>
      <c r="E78" s="155"/>
      <c r="F78" s="18"/>
      <c r="G78" s="19"/>
      <c r="H78" s="20"/>
      <c r="I78" s="20"/>
      <c r="J78" s="31"/>
      <c r="K78" s="17"/>
    </row>
    <row r="79" spans="2:11" ht="14" customHeight="1" x14ac:dyDescent="0.25">
      <c r="B79" s="15"/>
      <c r="C79" s="58"/>
      <c r="D79" s="17"/>
      <c r="E79" s="158"/>
      <c r="F79" s="24"/>
      <c r="H79" s="20"/>
      <c r="I79" s="20"/>
      <c r="J79" s="31"/>
      <c r="K79" s="17"/>
    </row>
  </sheetData>
  <mergeCells count="2">
    <mergeCell ref="B1:C1"/>
    <mergeCell ref="B8:G8"/>
  </mergeCells>
  <conditionalFormatting sqref="B77:B116">
    <cfRule type="expression" dxfId="8" priority="8" stopIfTrue="1">
      <formula>J77="assigned"</formula>
    </cfRule>
    <cfRule type="expression" dxfId="7" priority="9">
      <formula>J77="expired"</formula>
    </cfRule>
  </conditionalFormatting>
  <conditionalFormatting sqref="B77:B116">
    <cfRule type="expression" dxfId="6" priority="6">
      <formula>AND(ISNUMBER(SEARCH("call", B77)), J77="expired")</formula>
    </cfRule>
    <cfRule type="expression" dxfId="5" priority="7">
      <formula>AND(ISNUMBER(SEARCH("call", B77)), J77="assigned")</formula>
    </cfRule>
  </conditionalFormatting>
  <conditionalFormatting sqref="B41:B76">
    <cfRule type="expression" dxfId="4" priority="1" stopIfTrue="1">
      <formula>J41="ROLL"</formula>
    </cfRule>
    <cfRule type="expression" dxfId="3" priority="2" stopIfTrue="1">
      <formula>AND(ISNUMBER(SEARCH("call", B41)), J41="expired")</formula>
    </cfRule>
    <cfRule type="expression" dxfId="2" priority="3" stopIfTrue="1">
      <formula>AND(ISNUMBER(SEARCH("call", B41)), J41="assigned")</formula>
    </cfRule>
    <cfRule type="expression" dxfId="1" priority="4" stopIfTrue="1">
      <formula>J41="assigned"</formula>
    </cfRule>
    <cfRule type="expression" dxfId="0" priority="5">
      <formula>J41="expired"</formula>
    </cfRule>
  </conditionalFormatting>
  <pageMargins left="0.7" right="0.7" top="0.75" bottom="0.75" header="0.3" footer="0.3"/>
  <pageSetup paperSize="0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ADBE</vt:lpstr>
      <vt:lpstr>AMAT</vt:lpstr>
      <vt:lpstr>AMZN</vt:lpstr>
      <vt:lpstr>ARM</vt:lpstr>
      <vt:lpstr>ASML</vt:lpstr>
      <vt:lpstr>AVGO</vt:lpstr>
      <vt:lpstr>BA</vt:lpstr>
      <vt:lpstr>CEG</vt:lpstr>
      <vt:lpstr>CMG</vt:lpstr>
      <vt:lpstr>CONY - Roth</vt:lpstr>
      <vt:lpstr>CROX</vt:lpstr>
      <vt:lpstr>DHI</vt:lpstr>
      <vt:lpstr>DHI - Roth</vt:lpstr>
      <vt:lpstr>ENPH</vt:lpstr>
      <vt:lpstr>FMCC</vt:lpstr>
      <vt:lpstr>FNMA</vt:lpstr>
      <vt:lpstr>GDX</vt:lpstr>
      <vt:lpstr>GDX - Roth</vt:lpstr>
      <vt:lpstr>GDXY</vt:lpstr>
      <vt:lpstr>GDXY - Roth</vt:lpstr>
      <vt:lpstr>GOOG</vt:lpstr>
      <vt:lpstr>HHH</vt:lpstr>
      <vt:lpstr>INTC</vt:lpstr>
      <vt:lpstr>INTC - Roth</vt:lpstr>
      <vt:lpstr>LB</vt:lpstr>
      <vt:lpstr>LOW</vt:lpstr>
      <vt:lpstr>LRCX</vt:lpstr>
      <vt:lpstr>LRCX - Roth</vt:lpstr>
      <vt:lpstr>LULU</vt:lpstr>
      <vt:lpstr>LULU - Roth</vt:lpstr>
      <vt:lpstr>NKE</vt:lpstr>
      <vt:lpstr>NKE - Roth</vt:lpstr>
      <vt:lpstr>NKE (2)</vt:lpstr>
      <vt:lpstr>NVDA</vt:lpstr>
      <vt:lpstr>ODFL</vt:lpstr>
      <vt:lpstr>OXY</vt:lpstr>
      <vt:lpstr>PYPL</vt:lpstr>
      <vt:lpstr>QCOM</vt:lpstr>
      <vt:lpstr>RBLX</vt:lpstr>
      <vt:lpstr>RIVN</vt:lpstr>
      <vt:lpstr>RIVN - Roth</vt:lpstr>
      <vt:lpstr>SLV</vt:lpstr>
      <vt:lpstr>SLV - Roth</vt:lpstr>
      <vt:lpstr>SMR</vt:lpstr>
      <vt:lpstr>RIVN (2)</vt:lpstr>
      <vt:lpstr>SQY - Roth</vt:lpstr>
      <vt:lpstr>TOL</vt:lpstr>
      <vt:lpstr>TSLA</vt:lpstr>
      <vt:lpstr>TSLA - Roth</vt:lpstr>
      <vt:lpstr>TSLY - Roth</vt:lpstr>
      <vt:lpstr>TXN</vt:lpstr>
      <vt:lpstr>UNH</vt:lpstr>
      <vt:lpstr>V - Roth</vt:lpstr>
      <vt:lpstr>VIST</vt:lpstr>
      <vt:lpstr>VRT</vt:lpstr>
      <vt:lpstr>VST - Roth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Yuriy P</cp:lastModifiedBy>
  <dcterms:created xsi:type="dcterms:W3CDTF">2016-12-18T22:17:49Z</dcterms:created>
  <dcterms:modified xsi:type="dcterms:W3CDTF">2025-11-10T02:13:07Z</dcterms:modified>
</cp:coreProperties>
</file>